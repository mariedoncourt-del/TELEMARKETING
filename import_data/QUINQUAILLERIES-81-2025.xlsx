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1-resto" sheetId="1" r:id="rId4"/>
    <sheet state="visible" name="Feuille 1" sheetId="2" r:id="rId5"/>
  </sheets>
  <definedNames/>
  <calcPr/>
  <extLst>
    <ext uri="GoogleSheetsCustomDataVersion2">
      <go:sheetsCustomData xmlns:go="http://customooxmlschemas.google.com/" r:id="rId6" roundtripDataChecksum="qMDw4O8lEOyxijJoG0ipcNKt3lzoA56PClVdtsVjUjc="/>
    </ext>
  </extLst>
</workbook>
</file>

<file path=xl/sharedStrings.xml><?xml version="1.0" encoding="utf-8"?>
<sst xmlns="http://schemas.openxmlformats.org/spreadsheetml/2006/main" count="143" uniqueCount="112">
  <si>
    <t>NOM</t>
  </si>
  <si>
    <t>ADRESSE</t>
  </si>
  <si>
    <t>CODE POSTAL</t>
  </si>
  <si>
    <t>VILLE</t>
  </si>
  <si>
    <t>TELEPHONE</t>
  </si>
  <si>
    <t>DATE APPEL</t>
  </si>
  <si>
    <t>STATUT(RDV,AR,NRP,FIN,BRS)</t>
  </si>
  <si>
    <t>REMARQUE</t>
  </si>
  <si>
    <t>Quincaillerie Angles</t>
  </si>
  <si>
    <t xml:space="preserve"> 25 rue Jean Rostand 81000 Albi</t>
  </si>
  <si>
    <t>05 63 80 02 41</t>
  </si>
  <si>
    <t>siege gere</t>
  </si>
  <si>
    <t xml:space="preserve">ETABLISSEMENTS FAGES
</t>
  </si>
  <si>
    <t>zone artisanale Dolmen 81250 Alban</t>
  </si>
  <si>
    <t>05 63 55 90 43</t>
  </si>
  <si>
    <t>pas interr</t>
  </si>
  <si>
    <t>Quincaillerie Bruniquel</t>
  </si>
  <si>
    <t xml:space="preserve"> 12 rue du General Ferret 81120 Réalmont </t>
  </si>
  <si>
    <t>05 63 55 51 14</t>
  </si>
  <si>
    <t>comptable decide</t>
  </si>
  <si>
    <t>Lapeyre Quincaillerie</t>
  </si>
  <si>
    <t>Bru Ets</t>
  </si>
  <si>
    <t>26 rue Aristide Briand 81600 Gaillac</t>
  </si>
  <si>
    <t>05 63 57 39 23</t>
  </si>
  <si>
    <t>pas dispo</t>
  </si>
  <si>
    <t>Codina Quincaillerie</t>
  </si>
  <si>
    <t>ZAC de la Prade 191 avenue Freres Lumiere 81580 Soual</t>
  </si>
  <si>
    <t>05 63 50 02 00</t>
  </si>
  <si>
    <t>Etablissements Bompart</t>
  </si>
  <si>
    <t>1 avenue Albert Thomas 81400 Carmaux</t>
  </si>
  <si>
    <t>05 63 76 50 29</t>
  </si>
  <si>
    <t xml:space="preserve">Articles Quincaillerie
</t>
  </si>
  <si>
    <t>16 promenade Autan 81170 Les Cabannes</t>
  </si>
  <si>
    <t>05 63 56 02 56</t>
  </si>
  <si>
    <t>Maison Pinel SAS</t>
  </si>
  <si>
    <t>50 rue Père Colin 81500 Lavaur</t>
  </si>
  <si>
    <t>05 63 58 00 59</t>
  </si>
  <si>
    <t>repondeur</t>
  </si>
  <si>
    <t xml:space="preserve">Crea Sarl
</t>
  </si>
  <si>
    <t>Za Monplaisir 31 rue Isaac Newton 81000 Albi</t>
  </si>
  <si>
    <t>05 63 78 33 33</t>
  </si>
  <si>
    <t xml:space="preserve">Quincaillerie Des Monts D'Alban
</t>
  </si>
  <si>
    <t>13 Rue des Marchés, 81250 Alban, France</t>
  </si>
  <si>
    <t>05 63 70 68 24</t>
  </si>
  <si>
    <t>nrp</t>
  </si>
  <si>
    <t xml:space="preserve">Quincaillerie LMM
</t>
  </si>
  <si>
    <t>39 Grand Rue, 81360 Montredon-Labessonnié, France</t>
  </si>
  <si>
    <t xml:space="preserve">Arnaud Nègre Établ
</t>
  </si>
  <si>
    <t>3 Rue de la Libération, 81100 Castres, France</t>
  </si>
  <si>
    <t xml:space="preserve">Rousseau Quincaillerie Albi
</t>
  </si>
  <si>
    <t>31 Rue Isaac Newton, 81000 Albi, France</t>
  </si>
  <si>
    <t>pas dis^po</t>
  </si>
  <si>
    <t>QUINQUAILLERIES 82</t>
  </si>
  <si>
    <t xml:space="preserve">CERBELLE David
</t>
  </si>
  <si>
    <t>1 Pl. André Molinier, 82250 Laguépie, France</t>
  </si>
  <si>
    <t>pas interss</t>
  </si>
  <si>
    <t xml:space="preserve">Larré Quincaillerie
</t>
  </si>
  <si>
    <t>8 Rue Géraud Seignouret, 82170 Grisolles, France</t>
  </si>
  <si>
    <t xml:space="preserve">Quincaillerie Saint Louis/ Déco Saint Louis
</t>
  </si>
  <si>
    <t>11 Pl. Prax Paris, 82000 Montauban, France</t>
  </si>
  <si>
    <t xml:space="preserve">il va fermer </t>
  </si>
  <si>
    <t xml:space="preserve">Couderc Droguerie
</t>
  </si>
  <si>
    <t>43 Rue de la Résistance, 82000 Montauban, France</t>
  </si>
  <si>
    <t xml:space="preserve">Aomc-Outil82- Quincaillerie
</t>
  </si>
  <si>
    <t>Zone Artisanale des Brugues, 212 des Brugues, 82410 Saint-Etienne-de-Tulmont, France</t>
  </si>
  <si>
    <t xml:space="preserve">Quincaillerie Vidaillac
</t>
  </si>
  <si>
    <t>29 Av. du Père Evariste Huc, 82160 Caylus, France</t>
  </si>
  <si>
    <t xml:space="preserve">COPREL outillage
</t>
  </si>
  <si>
    <t>ZA des Brugues, 212 rue des Brugues, 82410 Saint-Etienne-de-Tulmont, France</t>
  </si>
  <si>
    <t xml:space="preserve">CGO
</t>
  </si>
  <si>
    <t>13 Rue Voltaire, 82000 Montauban, France</t>
  </si>
  <si>
    <t>QUINQUAILLERIE 31</t>
  </si>
  <si>
    <t xml:space="preserve">Foussier Toulouse
</t>
  </si>
  <si>
    <t>343 Av. des États-Unis, 31200 Toulouse, France</t>
  </si>
  <si>
    <t>FIN</t>
  </si>
  <si>
    <t>HC SIEGE</t>
  </si>
  <si>
    <t xml:space="preserve">Quincaillerie d'Arcole
</t>
  </si>
  <si>
    <t>29 Bd d'Arcole, 31000 Toulouse, France</t>
  </si>
  <si>
    <t>AR</t>
  </si>
  <si>
    <r>
      <rPr/>
      <t xml:space="preserve">AR EN JANVIER 2024 MR Patrick COMMENE  </t>
    </r>
    <r>
      <rPr>
        <color rgb="FF1155CC"/>
        <u/>
      </rPr>
      <t>https://www.societe.com/societe/arcole-quincaillerie-794190082.html</t>
    </r>
  </si>
  <si>
    <t xml:space="preserve">Savfima Toulouse
</t>
  </si>
  <si>
    <t>ZI Thibaud, 3 Rue Jean Damoysel, 31100 Toulouse, France</t>
  </si>
  <si>
    <t xml:space="preserve">Droguerie Toulouse
</t>
  </si>
  <si>
    <t>46 Rue du Languedoc, 31000 Toulouse, France</t>
  </si>
  <si>
    <t>ca pass pas</t>
  </si>
  <si>
    <t xml:space="preserve">Berner - Quincaillerie professionnelle à Toulouse
</t>
  </si>
  <si>
    <t>13 ter Chem. du Chapitre, 31100 Toulouse, France</t>
  </si>
  <si>
    <t xml:space="preserve">Bazar de la Bourse ∣ Droguerie éco responsable Toulouse
</t>
  </si>
  <si>
    <t>18 Rue de la Bourse, 31000 Toulouse, France</t>
  </si>
  <si>
    <t xml:space="preserve">Droguerie Taverne
</t>
  </si>
  <si>
    <t>14 Rue Saint-Antoine du T, 31000 Toulouse, France</t>
  </si>
  <si>
    <t>TROP AGEE</t>
  </si>
  <si>
    <t xml:space="preserve">droguerie </t>
  </si>
  <si>
    <t xml:space="preserve">BEZIAN SECURITE
</t>
  </si>
  <si>
    <t>3 Rue du Pôle, 31200 Toulouse, France</t>
  </si>
  <si>
    <t>pas dispo gerant</t>
  </si>
  <si>
    <t xml:space="preserve">L.C.M. Diffusion
</t>
  </si>
  <si>
    <t>61 Chem. de Lestang, 31100 Toulouse, France</t>
  </si>
  <si>
    <t xml:space="preserve">Droguerie Pommery
</t>
  </si>
  <si>
    <t>3 Rue Lavigne, 31700 Blagnac, France</t>
  </si>
  <si>
    <t xml:space="preserve">Canut Zapater Sarl
</t>
  </si>
  <si>
    <t>Rue du Barry, 31420 Aurignac, France</t>
  </si>
  <si>
    <t>raccroch</t>
  </si>
  <si>
    <t xml:space="preserve">Droguerie Olives Severac
</t>
  </si>
  <si>
    <t>1 Rue Gambetta, 31330 Grenade, France</t>
  </si>
  <si>
    <t>AR//FIN</t>
  </si>
  <si>
    <t xml:space="preserve">Ets Berna &amp; Fils
</t>
  </si>
  <si>
    <t>20 Av. Saint-Germier, 31600 Muret, France</t>
  </si>
  <si>
    <t xml:space="preserve">SARL Blanchet
</t>
  </si>
  <si>
    <t>22 Rue de la République, 31270 Villeneuve-Tolosane, France</t>
  </si>
  <si>
    <t xml:space="preserve">Cristal Décors
</t>
  </si>
  <si>
    <t>15 Rue Boudeville, 31100 Toulouse, 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</si>
</sst>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0.0"/>
      <color rgb="FF000000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rgb="FF3D4854"/>
      <name val="&quot;Open Sans&quot;"/>
    </font>
    <font>
      <color rgb="FFFF0000"/>
      <name val="Calibri"/>
    </font>
    <font>
      <u/>
      <color rgb="FF0000FF"/>
    </font>
    <font>
      <color rgb="FF000000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3" fontId="2" numFmtId="0" xfId="0" applyFill="1" applyFont="1"/>
    <xf borderId="0" fillId="3" fontId="2" numFmtId="164" xfId="0" applyFont="1" applyNumberFormat="1"/>
    <xf borderId="0" fillId="3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2" numFmtId="0" xfId="0" applyFill="1" applyFont="1"/>
    <xf borderId="0" fillId="6" fontId="2" numFmtId="0" xfId="0" applyFill="1" applyFont="1"/>
    <xf borderId="0" fillId="6" fontId="2" numFmtId="164" xfId="0" applyFont="1" applyNumberFormat="1"/>
    <xf borderId="0" fillId="6" fontId="2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165" xfId="0" applyFont="1" applyNumberFormat="1"/>
    <xf borderId="0" fillId="0" fontId="7" numFmtId="0" xfId="0" applyAlignment="1" applyFont="1">
      <alignment readingOrder="0"/>
    </xf>
    <xf borderId="0" fillId="4" fontId="2" numFmtId="0" xfId="0" applyFont="1"/>
    <xf borderId="0" fillId="4" fontId="2" numFmtId="165" xfId="0" applyFont="1" applyNumberFormat="1"/>
    <xf borderId="0" fillId="4" fontId="2" numFmtId="0" xfId="0" applyAlignment="1" applyFont="1">
      <alignment readingOrder="0"/>
    </xf>
    <xf borderId="0" fillId="4" fontId="4" numFmtId="0" xfId="0" applyFont="1"/>
    <xf borderId="0" fillId="2" fontId="2" numFmtId="0" xfId="0" applyFont="1"/>
    <xf borderId="0" fillId="0" fontId="6" numFmtId="0" xfId="0" applyFont="1"/>
    <xf borderId="0" fillId="7" fontId="4" numFmtId="0" xfId="0" applyFill="1" applyFont="1"/>
    <xf borderId="0" fillId="7" fontId="2" numFmtId="0" xfId="0" applyFont="1"/>
    <xf borderId="0" fillId="8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ociete.com/societe/arcole-quincaillerie-794190082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4.57"/>
    <col customWidth="1" min="3" max="3" width="21.0"/>
    <col customWidth="1" min="4" max="4" width="15.57"/>
    <col customWidth="1" min="5" max="5" width="22.71"/>
    <col customWidth="1" min="6" max="6" width="15.43"/>
    <col customWidth="1" min="7" max="7" width="26.14"/>
    <col customWidth="1" min="8" max="8" width="20.71"/>
    <col customWidth="1" min="9" max="9" width="11.57"/>
    <col customWidth="1" min="10" max="10" width="0.57"/>
    <col customWidth="1" min="11" max="11" width="29.57"/>
    <col customWidth="1" min="12" max="12" width="7.43"/>
    <col customWidth="1" min="13" max="13" width="38.57"/>
    <col customWidth="1" min="14" max="24" width="11.5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2.75" customHeight="1">
      <c r="A2" s="2" t="s">
        <v>8</v>
      </c>
      <c r="B2" s="2" t="s">
        <v>9</v>
      </c>
      <c r="C2" s="2"/>
      <c r="D2" s="2"/>
      <c r="E2" s="2" t="s">
        <v>10</v>
      </c>
      <c r="F2" s="3"/>
      <c r="G2" s="2"/>
      <c r="H2" s="4" t="s">
        <v>11</v>
      </c>
      <c r="I2" s="2"/>
      <c r="J2" s="2"/>
      <c r="K2" s="2"/>
    </row>
    <row r="3" ht="12.75" customHeight="1">
      <c r="A3" s="2" t="s">
        <v>12</v>
      </c>
      <c r="B3" s="2" t="s">
        <v>13</v>
      </c>
      <c r="C3" s="2"/>
      <c r="E3" s="2" t="s">
        <v>14</v>
      </c>
      <c r="F3" s="3"/>
      <c r="G3" s="2"/>
      <c r="H3" s="4" t="s">
        <v>15</v>
      </c>
      <c r="L3" s="2"/>
      <c r="M3" s="2"/>
    </row>
    <row r="4" ht="12.75" customHeight="1">
      <c r="A4" s="2" t="s">
        <v>16</v>
      </c>
      <c r="B4" s="2" t="s">
        <v>17</v>
      </c>
      <c r="C4" s="2"/>
      <c r="E4" s="2" t="s">
        <v>18</v>
      </c>
      <c r="F4" s="3"/>
      <c r="G4" s="2"/>
      <c r="H4" s="4" t="s">
        <v>19</v>
      </c>
      <c r="I4" s="2"/>
      <c r="L4" s="2"/>
      <c r="M4" s="2"/>
    </row>
    <row r="5" ht="12.75" customHeight="1">
      <c r="A5" s="2" t="s">
        <v>20</v>
      </c>
      <c r="B5" s="2"/>
      <c r="C5" s="2"/>
      <c r="E5" s="2"/>
      <c r="F5" s="2"/>
      <c r="G5" s="2"/>
      <c r="I5" s="2"/>
      <c r="J5" s="2"/>
      <c r="K5" s="5"/>
      <c r="L5" s="2"/>
      <c r="M5" s="2"/>
    </row>
    <row r="6" ht="12.75" customHeight="1">
      <c r="A6" s="2" t="s">
        <v>21</v>
      </c>
      <c r="B6" s="2" t="s">
        <v>22</v>
      </c>
      <c r="C6" s="2"/>
      <c r="E6" s="2" t="s">
        <v>23</v>
      </c>
      <c r="F6" s="3"/>
      <c r="G6" s="2"/>
      <c r="H6" s="4" t="s">
        <v>24</v>
      </c>
      <c r="I6" s="2"/>
      <c r="L6" s="2"/>
      <c r="M6" s="2"/>
    </row>
    <row r="7" ht="12.75" customHeight="1">
      <c r="A7" s="6" t="s">
        <v>25</v>
      </c>
      <c r="B7" s="6" t="s">
        <v>26</v>
      </c>
      <c r="C7" s="6"/>
      <c r="D7" s="6"/>
      <c r="E7" s="6" t="s">
        <v>27</v>
      </c>
      <c r="F7" s="7"/>
      <c r="G7" s="6"/>
      <c r="H7" s="8" t="s">
        <v>24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2.75" customHeight="1">
      <c r="A8" s="2" t="s">
        <v>28</v>
      </c>
      <c r="B8" s="2" t="s">
        <v>29</v>
      </c>
      <c r="C8" s="2"/>
      <c r="E8" s="2" t="s">
        <v>30</v>
      </c>
      <c r="F8" s="3"/>
      <c r="G8" s="2"/>
      <c r="H8" s="4" t="s">
        <v>24</v>
      </c>
      <c r="I8" s="2"/>
      <c r="K8" s="5"/>
      <c r="L8" s="2"/>
      <c r="M8" s="2"/>
      <c r="N8" s="2"/>
      <c r="O8" s="2"/>
    </row>
    <row r="9" ht="12.75" customHeight="1">
      <c r="A9" s="2" t="s">
        <v>31</v>
      </c>
      <c r="B9" s="2" t="s">
        <v>32</v>
      </c>
      <c r="C9" s="2"/>
      <c r="E9" s="2" t="s">
        <v>33</v>
      </c>
      <c r="F9" s="3"/>
      <c r="G9" s="2"/>
      <c r="H9" s="4" t="s">
        <v>24</v>
      </c>
      <c r="I9" s="2"/>
      <c r="L9" s="2"/>
      <c r="M9" s="2"/>
    </row>
    <row r="10" ht="12.75" customHeight="1">
      <c r="A10" s="2" t="s">
        <v>34</v>
      </c>
      <c r="B10" s="2" t="s">
        <v>35</v>
      </c>
      <c r="C10" s="2"/>
      <c r="E10" s="2" t="s">
        <v>36</v>
      </c>
      <c r="F10" s="3"/>
      <c r="G10" s="2"/>
      <c r="H10" s="4" t="s">
        <v>37</v>
      </c>
      <c r="I10" s="2"/>
      <c r="L10" s="2"/>
      <c r="M10" s="2"/>
    </row>
    <row r="11" ht="12.75" customHeight="1">
      <c r="A11" s="2" t="s">
        <v>38</v>
      </c>
      <c r="B11" s="2" t="s">
        <v>39</v>
      </c>
      <c r="C11" s="2"/>
      <c r="E11" s="2" t="s">
        <v>40</v>
      </c>
      <c r="F11" s="3"/>
      <c r="G11" s="2"/>
      <c r="H11" s="4" t="s">
        <v>24</v>
      </c>
      <c r="L11" s="2"/>
      <c r="M11" s="2"/>
    </row>
    <row r="12" ht="12.75" customHeight="1">
      <c r="A12" s="2" t="s">
        <v>41</v>
      </c>
      <c r="B12" s="2" t="s">
        <v>42</v>
      </c>
      <c r="C12" s="2"/>
      <c r="E12" s="9" t="s">
        <v>43</v>
      </c>
      <c r="F12" s="2"/>
      <c r="G12" s="2"/>
      <c r="H12" s="4" t="s">
        <v>44</v>
      </c>
      <c r="I12" s="2"/>
      <c r="J12" s="2"/>
      <c r="K12" s="5"/>
      <c r="L12" s="2"/>
      <c r="M12" s="10"/>
      <c r="N12" s="2"/>
      <c r="O12" s="2"/>
    </row>
    <row r="13" ht="12.75" customHeight="1">
      <c r="A13" s="2" t="s">
        <v>45</v>
      </c>
      <c r="B13" s="2" t="s">
        <v>46</v>
      </c>
      <c r="C13" s="2"/>
      <c r="E13" s="2">
        <f>33563751424</f>
        <v>33563751424</v>
      </c>
      <c r="F13" s="5"/>
      <c r="G13" s="2"/>
      <c r="H13" s="2"/>
      <c r="I13" s="2"/>
      <c r="J13" s="2"/>
      <c r="L13" s="2"/>
      <c r="M13" s="2"/>
      <c r="N13" s="2"/>
      <c r="O13" s="2"/>
    </row>
    <row r="14" ht="12.75" customHeight="1">
      <c r="A14" s="2" t="s">
        <v>47</v>
      </c>
      <c r="B14" s="2" t="s">
        <v>48</v>
      </c>
      <c r="C14" s="2"/>
      <c r="E14" s="2">
        <v>3.3563590198E10</v>
      </c>
      <c r="F14" s="5"/>
      <c r="G14" s="2"/>
      <c r="H14" s="2"/>
      <c r="I14" s="2"/>
      <c r="L14" s="2"/>
      <c r="M14" s="2"/>
      <c r="N14" s="2"/>
    </row>
    <row r="15">
      <c r="A15" s="11" t="s">
        <v>49</v>
      </c>
      <c r="B15" s="11" t="s">
        <v>50</v>
      </c>
      <c r="C15" s="11"/>
      <c r="D15" s="11"/>
      <c r="E15" s="11">
        <f>33563389798</f>
        <v>33563389798</v>
      </c>
      <c r="F15" s="12"/>
      <c r="G15" s="11"/>
      <c r="H15" s="13" t="s">
        <v>51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4"/>
      <c r="N16" s="2"/>
      <c r="O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4"/>
      <c r="N17" s="2"/>
      <c r="O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4"/>
      <c r="N18" s="2"/>
      <c r="O18" s="2"/>
    </row>
    <row r="19" ht="12.75" customHeight="1">
      <c r="A19" s="2" t="s">
        <v>52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4"/>
      <c r="N19" s="2"/>
      <c r="O19" s="2"/>
    </row>
    <row r="20" ht="12.75" customHeight="1">
      <c r="A20" s="2" t="s">
        <v>53</v>
      </c>
      <c r="B20" s="2" t="s">
        <v>54</v>
      </c>
      <c r="C20" s="2"/>
      <c r="E20" s="2">
        <f>33563302017</f>
        <v>33563302017</v>
      </c>
      <c r="F20" s="5"/>
      <c r="G20" s="2"/>
      <c r="H20" s="4" t="s">
        <v>55</v>
      </c>
      <c r="L20" s="2"/>
      <c r="M20" s="2"/>
      <c r="N20" s="2"/>
    </row>
    <row r="21" ht="12.75" customHeight="1">
      <c r="A21" s="2" t="s">
        <v>56</v>
      </c>
      <c r="B21" s="2" t="s">
        <v>57</v>
      </c>
      <c r="C21" s="2"/>
      <c r="E21" s="2">
        <f>33563673546</f>
        <v>33563673546</v>
      </c>
      <c r="F21" s="5"/>
      <c r="G21" s="2"/>
      <c r="H21" s="4" t="s">
        <v>55</v>
      </c>
      <c r="I21" s="2"/>
      <c r="L21" s="2"/>
      <c r="M21" s="2"/>
    </row>
    <row r="22" ht="12.75" customHeight="1">
      <c r="A22" s="2" t="s">
        <v>58</v>
      </c>
      <c r="B22" s="2" t="s">
        <v>59</v>
      </c>
      <c r="C22" s="2"/>
      <c r="E22" s="2">
        <f>33563631156</f>
        <v>33563631156</v>
      </c>
      <c r="F22" s="5"/>
      <c r="G22" s="2"/>
      <c r="H22" s="4" t="s">
        <v>60</v>
      </c>
      <c r="I22" s="2"/>
      <c r="L22" s="2"/>
      <c r="M22" s="2"/>
      <c r="N22" s="2"/>
      <c r="O22" s="2"/>
    </row>
    <row r="23" ht="12.75" customHeight="1">
      <c r="A23" s="2" t="s">
        <v>61</v>
      </c>
      <c r="B23" s="2" t="s">
        <v>62</v>
      </c>
      <c r="C23" s="2"/>
      <c r="E23" s="2">
        <f>33563630038</f>
        <v>33563630038</v>
      </c>
      <c r="F23" s="5"/>
      <c r="G23" s="2"/>
      <c r="H23" s="4" t="s">
        <v>55</v>
      </c>
      <c r="L23" s="2"/>
      <c r="M23" s="2"/>
      <c r="N23" s="2"/>
      <c r="O23" s="2"/>
    </row>
    <row r="24" ht="12.75" customHeight="1">
      <c r="A24" s="2" t="s">
        <v>63</v>
      </c>
      <c r="B24" s="2" t="s">
        <v>64</v>
      </c>
      <c r="C24" s="2"/>
      <c r="E24" s="2">
        <v>3.356320787E10</v>
      </c>
      <c r="F24" s="5"/>
      <c r="G24" s="2"/>
      <c r="H24" s="4" t="s">
        <v>37</v>
      </c>
      <c r="L24" s="2"/>
      <c r="M24" s="2"/>
      <c r="N24" s="2"/>
      <c r="O24" s="2"/>
    </row>
    <row r="25" ht="12.75" customHeight="1">
      <c r="A25" s="2" t="s">
        <v>65</v>
      </c>
      <c r="B25" s="2" t="s">
        <v>66</v>
      </c>
      <c r="C25" s="2"/>
      <c r="E25" s="2">
        <f>33563670659</f>
        <v>33563670659</v>
      </c>
      <c r="F25" s="5"/>
      <c r="G25" s="2"/>
      <c r="H25" s="4" t="s">
        <v>24</v>
      </c>
      <c r="I25" s="2"/>
      <c r="K25" s="5"/>
      <c r="L25" s="2"/>
      <c r="M25" s="2"/>
      <c r="N25" s="2"/>
      <c r="O25" s="2"/>
    </row>
    <row r="26" ht="12.75" customHeight="1">
      <c r="A26" s="2" t="s">
        <v>67</v>
      </c>
      <c r="B26" s="2" t="s">
        <v>68</v>
      </c>
      <c r="C26" s="2"/>
      <c r="E26" s="2">
        <f>33563207870</f>
        <v>33563207870</v>
      </c>
      <c r="F26" s="5"/>
      <c r="G26" s="2"/>
      <c r="H26" s="4" t="s">
        <v>37</v>
      </c>
      <c r="I26" s="2"/>
      <c r="J26" s="2"/>
      <c r="L26" s="2"/>
      <c r="M26" s="2"/>
      <c r="O26" s="2"/>
    </row>
    <row r="27" ht="12.75" customHeight="1">
      <c r="A27" s="2" t="s">
        <v>69</v>
      </c>
      <c r="B27" s="2" t="s">
        <v>70</v>
      </c>
      <c r="C27" s="2"/>
      <c r="E27" s="2">
        <f>33563031872</f>
        <v>33563031872</v>
      </c>
      <c r="F27" s="5"/>
      <c r="G27" s="2"/>
      <c r="H27" s="4" t="s">
        <v>37</v>
      </c>
      <c r="L27" s="2"/>
      <c r="M27" s="2"/>
      <c r="O27" s="2"/>
    </row>
    <row r="28" ht="12.75" customHeight="1">
      <c r="A28" s="2"/>
      <c r="B28" s="2"/>
      <c r="C28" s="2"/>
      <c r="E28" s="2"/>
      <c r="F28" s="2"/>
      <c r="G28" s="2"/>
      <c r="L28" s="2"/>
      <c r="M28" s="2"/>
    </row>
    <row r="29" ht="12.75" customHeight="1">
      <c r="A29" s="2"/>
      <c r="B29" s="2"/>
      <c r="C29" s="2"/>
      <c r="E29" s="2"/>
      <c r="F29" s="2"/>
      <c r="G29" s="2"/>
      <c r="I29" s="2"/>
      <c r="L29" s="2"/>
      <c r="M29" s="2"/>
      <c r="O29" s="2"/>
    </row>
    <row r="30" ht="12.75" customHeight="1">
      <c r="A30" s="2" t="s">
        <v>71</v>
      </c>
      <c r="B30" s="2"/>
      <c r="C30" s="2"/>
      <c r="E30" s="2"/>
      <c r="F30" s="2"/>
      <c r="G30" s="2"/>
      <c r="K30" s="5"/>
      <c r="L30" s="2"/>
      <c r="M30" s="2"/>
      <c r="O30" s="2"/>
    </row>
    <row r="31" ht="12.75" customHeight="1">
      <c r="A31" s="2" t="s">
        <v>72</v>
      </c>
      <c r="B31" s="2" t="s">
        <v>73</v>
      </c>
      <c r="C31" s="2"/>
      <c r="E31" s="2">
        <f>33250821821</f>
        <v>33250821821</v>
      </c>
      <c r="F31" s="5">
        <v>45233.0</v>
      </c>
      <c r="G31" s="2" t="s">
        <v>74</v>
      </c>
      <c r="H31" s="2" t="s">
        <v>75</v>
      </c>
      <c r="I31" s="2"/>
      <c r="L31" s="2"/>
      <c r="M31" s="10"/>
      <c r="N31" s="2"/>
      <c r="O31" s="2"/>
    </row>
    <row r="32" ht="12.75" customHeight="1">
      <c r="A32" s="2" t="s">
        <v>76</v>
      </c>
      <c r="B32" s="2" t="s">
        <v>77</v>
      </c>
      <c r="C32" s="2"/>
      <c r="E32" s="2">
        <f>33561214374</f>
        <v>33561214374</v>
      </c>
      <c r="F32" s="5">
        <v>45233.0</v>
      </c>
      <c r="G32" s="2" t="s">
        <v>78</v>
      </c>
      <c r="H32" s="15" t="s">
        <v>79</v>
      </c>
      <c r="I32" s="2"/>
      <c r="L32" s="2"/>
      <c r="M32" s="2"/>
      <c r="N32" s="2"/>
      <c r="O32" s="2"/>
    </row>
    <row r="33" ht="12.75" customHeight="1">
      <c r="A33" s="2" t="s">
        <v>80</v>
      </c>
      <c r="B33" s="2" t="s">
        <v>81</v>
      </c>
      <c r="C33" s="2"/>
      <c r="E33" s="2">
        <f>33534462043</f>
        <v>33534462043</v>
      </c>
      <c r="F33" s="3">
        <v>45244.0</v>
      </c>
      <c r="G33" s="2" t="s">
        <v>74</v>
      </c>
      <c r="H33" s="2" t="s">
        <v>75</v>
      </c>
      <c r="I33" s="2"/>
      <c r="J33" s="2"/>
      <c r="L33" s="2"/>
      <c r="M33" s="2"/>
      <c r="O33" s="2"/>
    </row>
    <row r="34" ht="12.75" customHeight="1">
      <c r="A34" s="2" t="s">
        <v>82</v>
      </c>
      <c r="B34" s="2" t="s">
        <v>83</v>
      </c>
      <c r="C34" s="2"/>
      <c r="E34" s="2">
        <f>33628133647</f>
        <v>33628133647</v>
      </c>
      <c r="F34" s="5">
        <v>45233.0</v>
      </c>
      <c r="G34" s="2" t="s">
        <v>74</v>
      </c>
      <c r="H34" s="4" t="s">
        <v>84</v>
      </c>
      <c r="I34" s="2"/>
      <c r="L34" s="2"/>
      <c r="M34" s="2"/>
      <c r="O34" s="2"/>
    </row>
    <row r="35" ht="12.75" customHeight="1">
      <c r="A35" s="2" t="s">
        <v>85</v>
      </c>
      <c r="B35" s="2" t="s">
        <v>86</v>
      </c>
      <c r="C35" s="2"/>
      <c r="E35" s="2">
        <f>33974195953</f>
        <v>33974195953</v>
      </c>
      <c r="F35" s="5">
        <v>45233.0</v>
      </c>
      <c r="G35" s="2" t="s">
        <v>74</v>
      </c>
      <c r="H35" s="2" t="s">
        <v>75</v>
      </c>
      <c r="I35" s="5"/>
      <c r="L35" s="2"/>
      <c r="M35" s="2"/>
      <c r="O35" s="2"/>
    </row>
    <row r="36" ht="12.75" customHeight="1">
      <c r="A36" s="2" t="s">
        <v>87</v>
      </c>
      <c r="B36" s="2" t="s">
        <v>88</v>
      </c>
      <c r="C36" s="2"/>
      <c r="E36" s="2">
        <f>33562754154</f>
        <v>33562754154</v>
      </c>
      <c r="F36" s="5">
        <v>45233.0</v>
      </c>
      <c r="G36" s="2" t="s">
        <v>74</v>
      </c>
      <c r="H36" s="4" t="s">
        <v>37</v>
      </c>
      <c r="I36" s="16"/>
      <c r="L36" s="10"/>
      <c r="M36" s="10"/>
      <c r="O36" s="2"/>
    </row>
    <row r="37" ht="12.75" customHeight="1">
      <c r="A37" s="2" t="s">
        <v>89</v>
      </c>
      <c r="B37" s="2" t="s">
        <v>90</v>
      </c>
      <c r="C37" s="2"/>
      <c r="E37" s="2">
        <f>33561216590</f>
        <v>33561216590</v>
      </c>
      <c r="F37" s="5">
        <v>45233.0</v>
      </c>
      <c r="G37" s="2" t="s">
        <v>74</v>
      </c>
      <c r="H37" s="2" t="s">
        <v>91</v>
      </c>
      <c r="I37" s="17">
        <v>6.7437385E8</v>
      </c>
      <c r="K37" s="17" t="s">
        <v>92</v>
      </c>
      <c r="L37" s="2"/>
      <c r="M37" s="2"/>
      <c r="N37" s="2"/>
      <c r="O37" s="2"/>
    </row>
    <row r="38" ht="12.75" customHeight="1">
      <c r="A38" s="2" t="s">
        <v>93</v>
      </c>
      <c r="B38" s="2" t="s">
        <v>94</v>
      </c>
      <c r="C38" s="2"/>
      <c r="E38" s="2">
        <f>33561628144</f>
        <v>33561628144</v>
      </c>
      <c r="F38" s="5">
        <v>45233.0</v>
      </c>
      <c r="G38" s="2" t="s">
        <v>74</v>
      </c>
      <c r="H38" s="4" t="s">
        <v>95</v>
      </c>
      <c r="I38" s="2"/>
      <c r="J38" s="2"/>
      <c r="L38" s="2"/>
      <c r="M38" s="2"/>
    </row>
    <row r="39" ht="12.75" customHeight="1">
      <c r="A39" s="2" t="s">
        <v>96</v>
      </c>
      <c r="B39" s="2" t="s">
        <v>97</v>
      </c>
      <c r="C39" s="2"/>
      <c r="E39" s="2">
        <v>3.353460396E10</v>
      </c>
      <c r="F39" s="5">
        <v>45233.0</v>
      </c>
      <c r="G39" s="2" t="s">
        <v>78</v>
      </c>
      <c r="H39" s="4" t="s">
        <v>95</v>
      </c>
      <c r="I39" s="2"/>
      <c r="J39" s="2"/>
      <c r="K39" s="5"/>
      <c r="L39" s="2"/>
      <c r="M39" s="2"/>
      <c r="O39" s="2"/>
    </row>
    <row r="40" ht="12.75" customHeight="1">
      <c r="A40" s="18" t="s">
        <v>98</v>
      </c>
      <c r="B40" s="18" t="s">
        <v>99</v>
      </c>
      <c r="C40" s="18"/>
      <c r="D40" s="18"/>
      <c r="E40" s="18">
        <f>33561714717</f>
        <v>33561714717</v>
      </c>
      <c r="F40" s="19">
        <v>45238.0</v>
      </c>
      <c r="G40" s="18" t="s">
        <v>74</v>
      </c>
      <c r="H40" s="20" t="s">
        <v>37</v>
      </c>
      <c r="I40" s="18"/>
      <c r="J40" s="18"/>
      <c r="K40" s="18"/>
      <c r="L40" s="18"/>
      <c r="M40" s="21"/>
      <c r="N40" s="21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ht="12.75" customHeight="1">
      <c r="A41" s="2" t="s">
        <v>100</v>
      </c>
      <c r="B41" s="2" t="s">
        <v>101</v>
      </c>
      <c r="C41" s="2"/>
      <c r="E41" s="2">
        <f>33561989262</f>
        <v>33561989262</v>
      </c>
      <c r="F41" s="5">
        <v>45238.0</v>
      </c>
      <c r="G41" s="2" t="s">
        <v>78</v>
      </c>
      <c r="H41" s="4" t="s">
        <v>102</v>
      </c>
      <c r="I41" s="2"/>
      <c r="K41" s="5"/>
      <c r="L41" s="2"/>
      <c r="M41" s="2"/>
      <c r="O41" s="2"/>
    </row>
    <row r="42" ht="12.75" customHeight="1">
      <c r="A42" s="2" t="s">
        <v>103</v>
      </c>
      <c r="B42" s="2" t="s">
        <v>104</v>
      </c>
      <c r="C42" s="2"/>
      <c r="E42" s="2">
        <f>33787903751</f>
        <v>33787903751</v>
      </c>
      <c r="F42" s="5">
        <v>45238.0</v>
      </c>
      <c r="G42" s="2" t="s">
        <v>105</v>
      </c>
      <c r="H42" s="4" t="s">
        <v>55</v>
      </c>
      <c r="I42" s="2"/>
      <c r="L42" s="2"/>
      <c r="M42" s="2"/>
      <c r="N42" s="2"/>
      <c r="O42" s="2"/>
    </row>
    <row r="43" ht="12.75" customHeight="1">
      <c r="A43" s="2" t="s">
        <v>106</v>
      </c>
      <c r="B43" s="2" t="s">
        <v>107</v>
      </c>
      <c r="C43" s="2"/>
      <c r="E43" s="2">
        <v>3.3561510937E10</v>
      </c>
      <c r="F43" s="5">
        <v>45238.0</v>
      </c>
      <c r="G43" s="2" t="s">
        <v>78</v>
      </c>
      <c r="H43" s="4" t="s">
        <v>44</v>
      </c>
      <c r="I43" s="2"/>
      <c r="J43" s="2"/>
      <c r="L43" s="2"/>
      <c r="M43" s="2"/>
      <c r="O43" s="2"/>
    </row>
    <row r="44" ht="12.75" customHeight="1">
      <c r="A44" s="2" t="s">
        <v>108</v>
      </c>
      <c r="B44" s="2" t="s">
        <v>109</v>
      </c>
      <c r="C44" s="2"/>
      <c r="E44" s="2">
        <f>33561921391</f>
        <v>33561921391</v>
      </c>
      <c r="F44" s="3">
        <v>45254.0</v>
      </c>
      <c r="G44" s="2" t="s">
        <v>78</v>
      </c>
      <c r="H44" s="4" t="s">
        <v>44</v>
      </c>
      <c r="L44" s="2"/>
      <c r="M44" s="2"/>
      <c r="N44" s="2"/>
      <c r="O44" s="2"/>
    </row>
    <row r="45" ht="12.75" customHeight="1">
      <c r="A45" s="2" t="s">
        <v>110</v>
      </c>
      <c r="B45" s="2" t="s">
        <v>111</v>
      </c>
      <c r="C45" s="2"/>
      <c r="E45" s="2">
        <v>3.3562879429E10</v>
      </c>
      <c r="F45" s="3">
        <v>45254.0</v>
      </c>
      <c r="G45" s="2" t="s">
        <v>78</v>
      </c>
      <c r="H45" s="4" t="s">
        <v>44</v>
      </c>
      <c r="L45" s="2"/>
      <c r="M45" s="2"/>
      <c r="O45" s="2"/>
    </row>
    <row r="46" ht="12.75" customHeight="1">
      <c r="A46" s="2"/>
      <c r="B46" s="2"/>
      <c r="C46" s="2"/>
      <c r="E46" s="2"/>
      <c r="F46" s="2"/>
      <c r="G46" s="2"/>
      <c r="I46" s="2"/>
      <c r="L46" s="2"/>
      <c r="M46" s="2"/>
      <c r="O46" s="2"/>
    </row>
    <row r="47" ht="12.75" customHeight="1">
      <c r="A47" s="2"/>
      <c r="B47" s="2"/>
      <c r="C47" s="2"/>
      <c r="E47" s="2"/>
      <c r="F47" s="2"/>
      <c r="G47" s="2"/>
      <c r="I47" s="2"/>
      <c r="J47" s="2"/>
      <c r="L47" s="2"/>
      <c r="M47" s="2"/>
      <c r="O47" s="2"/>
    </row>
    <row r="48" ht="12.75" customHeight="1">
      <c r="A48" s="2"/>
      <c r="B48" s="2"/>
      <c r="C48" s="2"/>
      <c r="E48" s="2"/>
      <c r="F48" s="2"/>
      <c r="G48" s="2"/>
      <c r="I48" s="2"/>
      <c r="L48" s="2"/>
      <c r="M48" s="2"/>
    </row>
    <row r="49" ht="12.75" customHeight="1">
      <c r="A49" s="2"/>
      <c r="B49" s="2"/>
      <c r="C49" s="2"/>
      <c r="E49" s="2"/>
      <c r="F49" s="2"/>
      <c r="G49" s="2"/>
      <c r="I49" s="2"/>
      <c r="L49" s="2"/>
      <c r="M49" s="2"/>
      <c r="N49" s="2"/>
      <c r="O49" s="2"/>
    </row>
    <row r="50" ht="12.75" customHeight="1">
      <c r="A50" s="2"/>
      <c r="B50" s="2"/>
      <c r="C50" s="2"/>
      <c r="E50" s="2"/>
      <c r="F50" s="2"/>
      <c r="G50" s="2"/>
      <c r="I50" s="2"/>
      <c r="L50" s="2"/>
      <c r="M50" s="2"/>
      <c r="N50" s="2"/>
      <c r="O50" s="2"/>
    </row>
    <row r="51" ht="12.75" customHeight="1">
      <c r="A51" s="2"/>
      <c r="B51" s="2"/>
      <c r="C51" s="2"/>
      <c r="E51" s="2"/>
      <c r="F51" s="2"/>
      <c r="G51" s="2"/>
      <c r="I51" s="2"/>
      <c r="L51" s="2"/>
      <c r="M51" s="2"/>
      <c r="O51" s="2"/>
    </row>
    <row r="52" ht="12.75" customHeight="1">
      <c r="A52" s="2"/>
      <c r="B52" s="2"/>
      <c r="C52" s="2"/>
      <c r="E52" s="2"/>
      <c r="F52" s="2"/>
      <c r="G52" s="2"/>
      <c r="I52" s="2"/>
      <c r="L52" s="2"/>
      <c r="M52" s="2"/>
      <c r="N52" s="2"/>
      <c r="O52" s="2"/>
    </row>
    <row r="53" ht="12.75" customHeight="1">
      <c r="A53" s="2"/>
      <c r="B53" s="2"/>
      <c r="C53" s="2"/>
      <c r="E53" s="2"/>
      <c r="F53" s="2"/>
      <c r="G53" s="2"/>
      <c r="I53" s="2"/>
      <c r="L53" s="2"/>
      <c r="M53" s="2"/>
      <c r="O53" s="2"/>
    </row>
    <row r="54" ht="12.75" customHeight="1">
      <c r="A54" s="2"/>
      <c r="B54" s="2"/>
      <c r="C54" s="2"/>
      <c r="E54" s="2"/>
      <c r="F54" s="2"/>
      <c r="G54" s="2"/>
      <c r="I54" s="2"/>
      <c r="L54" s="2"/>
      <c r="M54" s="2"/>
    </row>
    <row r="55" ht="12.75" customHeight="1">
      <c r="A55" s="2"/>
      <c r="B55" s="2"/>
      <c r="C55" s="2"/>
      <c r="E55" s="2"/>
      <c r="F55" s="2"/>
      <c r="G55" s="2"/>
      <c r="L55" s="2"/>
      <c r="M55" s="2"/>
      <c r="O55" s="2"/>
    </row>
    <row r="56" ht="12.75" customHeight="1">
      <c r="A56" s="2"/>
      <c r="B56" s="2"/>
      <c r="C56" s="2"/>
      <c r="E56" s="2"/>
      <c r="F56" s="2"/>
      <c r="G56" s="2"/>
      <c r="L56" s="2"/>
      <c r="M56" s="2"/>
      <c r="O56" s="2"/>
    </row>
    <row r="57" ht="12.75" customHeight="1">
      <c r="A57" s="2"/>
      <c r="B57" s="2"/>
      <c r="C57" s="2"/>
      <c r="E57" s="2"/>
      <c r="F57" s="2"/>
      <c r="G57" s="2"/>
      <c r="I57" s="2"/>
      <c r="L57" s="2"/>
      <c r="M57" s="2"/>
      <c r="O57" s="2"/>
    </row>
    <row r="58" ht="12.75" customHeight="1">
      <c r="A58" s="2"/>
      <c r="B58" s="2"/>
      <c r="C58" s="2"/>
      <c r="E58" s="2"/>
      <c r="F58" s="2"/>
      <c r="G58" s="2"/>
      <c r="I58" s="2"/>
      <c r="L58" s="2"/>
      <c r="M58" s="2"/>
      <c r="O58" s="2"/>
    </row>
    <row r="59" ht="12.75" customHeight="1">
      <c r="A59" s="2"/>
      <c r="B59" s="2"/>
      <c r="C59" s="2"/>
      <c r="E59" s="2"/>
      <c r="F59" s="2"/>
      <c r="G59" s="2"/>
      <c r="L59" s="2"/>
      <c r="M59" s="2"/>
      <c r="N59" s="2"/>
      <c r="O59" s="2"/>
    </row>
    <row r="60" ht="12.75" customHeight="1">
      <c r="A60" s="2"/>
      <c r="B60" s="2"/>
      <c r="C60" s="2"/>
      <c r="E60" s="2"/>
      <c r="F60" s="2"/>
      <c r="G60" s="2"/>
      <c r="I60" s="2"/>
      <c r="J60" s="2"/>
      <c r="L60" s="2"/>
      <c r="M60" s="2"/>
      <c r="O60" s="2"/>
    </row>
    <row r="61" ht="12.75" customHeight="1">
      <c r="A61" s="2"/>
      <c r="B61" s="2"/>
      <c r="C61" s="2"/>
      <c r="E61" s="2"/>
      <c r="F61" s="2"/>
      <c r="G61" s="2"/>
      <c r="I61" s="2"/>
      <c r="L61" s="2"/>
      <c r="M61" s="22"/>
    </row>
    <row r="62" ht="12.75" customHeight="1">
      <c r="A62" s="2"/>
      <c r="B62" s="2"/>
      <c r="C62" s="2"/>
      <c r="E62" s="2"/>
      <c r="F62" s="2"/>
      <c r="G62" s="2"/>
      <c r="L62" s="2"/>
      <c r="M62" s="2"/>
      <c r="N62" s="2"/>
    </row>
    <row r="63" ht="12.75" customHeight="1">
      <c r="A63" s="2"/>
      <c r="B63" s="2"/>
      <c r="C63" s="2"/>
      <c r="E63" s="2"/>
      <c r="F63" s="2"/>
      <c r="G63" s="2"/>
      <c r="I63" s="2"/>
      <c r="L63" s="2"/>
      <c r="M63" s="2"/>
    </row>
    <row r="64" ht="12.75" customHeight="1">
      <c r="A64" s="2"/>
      <c r="B64" s="2"/>
      <c r="C64" s="2"/>
      <c r="E64" s="2"/>
      <c r="F64" s="2"/>
      <c r="G64" s="2"/>
      <c r="I64" s="2"/>
      <c r="L64" s="2"/>
      <c r="M64" s="2"/>
      <c r="N64" s="2"/>
      <c r="O64" s="2"/>
    </row>
    <row r="65" ht="12.75" customHeight="1">
      <c r="A65" s="2"/>
      <c r="B65" s="2"/>
      <c r="C65" s="2"/>
      <c r="E65" s="2"/>
      <c r="F65" s="2"/>
      <c r="G65" s="2"/>
      <c r="I65" s="2"/>
      <c r="L65" s="2"/>
      <c r="M65" s="2"/>
      <c r="O65" s="2"/>
    </row>
    <row r="66" ht="12.75" customHeight="1">
      <c r="A66" s="2"/>
      <c r="B66" s="2"/>
      <c r="C66" s="2"/>
      <c r="E66" s="2"/>
      <c r="F66" s="2"/>
      <c r="G66" s="2"/>
      <c r="L66" s="2"/>
      <c r="M66" s="2"/>
      <c r="N66" s="2"/>
      <c r="O66" s="2"/>
    </row>
    <row r="67" ht="12.75" customHeight="1">
      <c r="A67" s="2"/>
      <c r="B67" s="2"/>
      <c r="C67" s="2"/>
      <c r="E67" s="2"/>
      <c r="F67" s="2"/>
      <c r="G67" s="2"/>
      <c r="I67" s="2"/>
      <c r="L67" s="2"/>
      <c r="M67" s="10"/>
    </row>
    <row r="68" ht="12.75" customHeight="1">
      <c r="A68" s="2"/>
      <c r="B68" s="2"/>
      <c r="C68" s="2"/>
      <c r="E68" s="2"/>
      <c r="F68" s="2"/>
      <c r="G68" s="2"/>
      <c r="I68" s="2"/>
      <c r="L68" s="2"/>
      <c r="M68" s="2"/>
      <c r="O68" s="2"/>
    </row>
    <row r="69" ht="12.75" customHeight="1">
      <c r="A69" s="2"/>
      <c r="B69" s="2"/>
      <c r="C69" s="2"/>
      <c r="E69" s="2"/>
      <c r="F69" s="2"/>
      <c r="G69" s="2"/>
      <c r="I69" s="2"/>
      <c r="L69" s="2"/>
      <c r="M69" s="2"/>
      <c r="O69" s="2"/>
    </row>
    <row r="70" ht="12.75" customHeight="1">
      <c r="A70" s="2"/>
      <c r="B70" s="2"/>
      <c r="C70" s="2"/>
      <c r="E70" s="2"/>
      <c r="F70" s="2"/>
      <c r="G70" s="2"/>
      <c r="L70" s="2"/>
      <c r="M70" s="2"/>
      <c r="O70" s="2"/>
    </row>
    <row r="71" ht="12.75" customHeight="1">
      <c r="A71" s="2"/>
      <c r="B71" s="2"/>
      <c r="C71" s="2"/>
      <c r="E71" s="2"/>
      <c r="F71" s="2"/>
      <c r="G71" s="2"/>
      <c r="I71" s="2"/>
      <c r="J71" s="2"/>
      <c r="L71" s="2"/>
      <c r="M71" s="2"/>
      <c r="N71" s="2"/>
      <c r="O71" s="2"/>
    </row>
    <row r="72" ht="12.75" customHeight="1">
      <c r="A72" s="2"/>
      <c r="B72" s="2"/>
      <c r="C72" s="2"/>
      <c r="E72" s="2"/>
      <c r="F72" s="2"/>
      <c r="G72" s="2"/>
      <c r="L72" s="2"/>
      <c r="M72" s="2"/>
      <c r="O72" s="2"/>
    </row>
    <row r="73" ht="12.75" customHeight="1">
      <c r="A73" s="2"/>
      <c r="B73" s="2"/>
      <c r="C73" s="2"/>
      <c r="E73" s="2"/>
      <c r="F73" s="2"/>
      <c r="G73" s="2"/>
      <c r="I73" s="2"/>
      <c r="L73" s="2"/>
      <c r="M73" s="23"/>
      <c r="O73" s="2"/>
    </row>
    <row r="74" ht="12.75" customHeight="1">
      <c r="A74" s="2"/>
      <c r="B74" s="2"/>
      <c r="C74" s="2"/>
      <c r="E74" s="2"/>
      <c r="F74" s="2"/>
      <c r="G74" s="2"/>
      <c r="I74" s="2"/>
      <c r="L74" s="2"/>
      <c r="M74" s="2"/>
      <c r="N74" s="2"/>
      <c r="O74" s="2"/>
    </row>
    <row r="75" ht="12.75" customHeight="1">
      <c r="A75" s="2"/>
      <c r="B75" s="2"/>
      <c r="C75" s="2"/>
      <c r="E75" s="2"/>
      <c r="F75" s="2"/>
      <c r="G75" s="2"/>
      <c r="I75" s="2"/>
      <c r="J75" s="2"/>
      <c r="L75" s="2"/>
      <c r="M75" s="2"/>
      <c r="N75" s="2"/>
      <c r="O75" s="2"/>
    </row>
    <row r="76" ht="12.75" customHeight="1">
      <c r="A76" s="2"/>
      <c r="B76" s="2"/>
      <c r="C76" s="2"/>
      <c r="E76" s="2"/>
      <c r="F76" s="2"/>
      <c r="G76" s="2"/>
      <c r="L76" s="2"/>
      <c r="M76" s="2"/>
    </row>
    <row r="77" ht="12.75" customHeight="1">
      <c r="A77" s="2"/>
      <c r="B77" s="2"/>
      <c r="C77" s="2"/>
      <c r="E77" s="2"/>
      <c r="F77" s="2"/>
      <c r="G77" s="2"/>
      <c r="I77" s="2"/>
      <c r="J77" s="2"/>
      <c r="L77" s="24"/>
      <c r="M77" s="24"/>
      <c r="N77" s="2"/>
      <c r="O77" s="2"/>
    </row>
    <row r="78" ht="12.75" customHeight="1">
      <c r="A78" s="2"/>
      <c r="B78" s="2"/>
      <c r="C78" s="2"/>
      <c r="E78" s="2"/>
      <c r="F78" s="2"/>
      <c r="G78" s="2"/>
      <c r="L78" s="2"/>
      <c r="M78" s="2"/>
    </row>
    <row r="79" ht="12.75" customHeight="1">
      <c r="A79" s="2"/>
      <c r="B79" s="2"/>
      <c r="C79" s="2"/>
      <c r="E79" s="2"/>
      <c r="F79" s="2"/>
      <c r="G79" s="2"/>
      <c r="I79" s="2"/>
      <c r="L79" s="2"/>
      <c r="M79" s="2"/>
    </row>
    <row r="80" ht="12.75" customHeight="1">
      <c r="A80" s="2"/>
      <c r="B80" s="2"/>
      <c r="C80" s="2"/>
      <c r="E80" s="2"/>
      <c r="F80" s="2"/>
      <c r="G80" s="2"/>
      <c r="L80" s="2"/>
      <c r="M80" s="2"/>
    </row>
    <row r="81" ht="12.75" customHeight="1">
      <c r="A81" s="2"/>
      <c r="B81" s="2"/>
      <c r="C81" s="2"/>
      <c r="E81" s="2"/>
      <c r="F81" s="2"/>
      <c r="G81" s="2"/>
      <c r="I81" s="2"/>
      <c r="J81" s="2"/>
      <c r="L81" s="2"/>
      <c r="M81" s="2"/>
      <c r="N81" s="2"/>
      <c r="O81" s="2"/>
    </row>
    <row r="82" ht="12.75" customHeight="1">
      <c r="A82" s="2"/>
      <c r="B82" s="2"/>
      <c r="C82" s="2"/>
      <c r="E82" s="2"/>
      <c r="F82" s="2"/>
      <c r="G82" s="2"/>
      <c r="L82" s="2"/>
      <c r="M82" s="2"/>
    </row>
    <row r="83" ht="12.75" customHeight="1">
      <c r="A83" s="2"/>
      <c r="B83" s="2"/>
      <c r="C83" s="2"/>
      <c r="E83" s="2"/>
      <c r="F83" s="2"/>
      <c r="G83" s="2"/>
      <c r="I83" s="2"/>
      <c r="L83" s="2"/>
      <c r="M83" s="2"/>
    </row>
    <row r="84" ht="12.75" customHeight="1">
      <c r="A84" s="2"/>
      <c r="B84" s="2"/>
      <c r="C84" s="2"/>
      <c r="E84" s="2"/>
      <c r="F84" s="2"/>
      <c r="G84" s="2"/>
      <c r="L84" s="24"/>
      <c r="M84" s="24"/>
      <c r="O84" s="2"/>
    </row>
    <row r="85" ht="12.75" customHeight="1">
      <c r="A85" s="2"/>
      <c r="B85" s="2"/>
      <c r="C85" s="2"/>
      <c r="E85" s="2"/>
      <c r="F85" s="2"/>
      <c r="G85" s="2"/>
      <c r="I85" s="2"/>
      <c r="J85" s="2"/>
      <c r="L85" s="2"/>
      <c r="M85" s="2"/>
      <c r="O85" s="2"/>
    </row>
    <row r="86" ht="12.75" customHeight="1">
      <c r="A86" s="2"/>
      <c r="B86" s="2"/>
      <c r="C86" s="2"/>
      <c r="E86" s="2"/>
      <c r="F86" s="2"/>
      <c r="G86" s="2"/>
      <c r="I86" s="2"/>
      <c r="L86" s="2"/>
      <c r="M86" s="10"/>
      <c r="N86" s="2"/>
      <c r="O86" s="2"/>
    </row>
    <row r="87" ht="12.75" customHeight="1">
      <c r="A87" s="2"/>
      <c r="B87" s="2"/>
      <c r="C87" s="2"/>
      <c r="E87" s="2"/>
      <c r="F87" s="2"/>
      <c r="G87" s="2"/>
      <c r="I87" s="2"/>
      <c r="J87" s="2"/>
      <c r="L87" s="2"/>
      <c r="M87" s="2"/>
      <c r="O87" s="2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2"/>
      <c r="O88" s="2"/>
    </row>
    <row r="89" ht="12.75" customHeight="1">
      <c r="A89" s="2"/>
      <c r="B89" s="2"/>
      <c r="C89" s="2"/>
      <c r="E89" s="2"/>
      <c r="F89" s="2"/>
      <c r="G89" s="2"/>
      <c r="I89" s="2"/>
      <c r="L89" s="2"/>
      <c r="M89" s="2"/>
      <c r="N89" s="2"/>
      <c r="O89" s="2"/>
    </row>
    <row r="90" ht="12.75" customHeight="1">
      <c r="A90" s="2"/>
      <c r="B90" s="2"/>
      <c r="C90" s="2"/>
      <c r="E90" s="2"/>
      <c r="F90" s="2"/>
      <c r="G90" s="2"/>
      <c r="L90" s="2"/>
      <c r="M90" s="2"/>
      <c r="N90" s="2"/>
      <c r="O90" s="2"/>
    </row>
    <row r="91" ht="12.75" customHeight="1">
      <c r="A91" s="2"/>
      <c r="B91" s="2"/>
      <c r="C91" s="2"/>
      <c r="E91" s="2"/>
      <c r="F91" s="2"/>
      <c r="G91" s="2"/>
      <c r="I91" s="2"/>
      <c r="J91" s="2"/>
      <c r="L91" s="2"/>
      <c r="M91" s="2"/>
      <c r="N91" s="2"/>
      <c r="O91" s="2"/>
    </row>
    <row r="92" ht="12.75" customHeight="1">
      <c r="A92" s="2"/>
      <c r="B92" s="2"/>
      <c r="C92" s="2"/>
      <c r="E92" s="2"/>
      <c r="F92" s="2"/>
      <c r="G92" s="2"/>
      <c r="L92" s="2"/>
      <c r="M92" s="2"/>
    </row>
    <row r="93" ht="12.75" customHeight="1">
      <c r="A93" s="2"/>
      <c r="B93" s="2"/>
      <c r="C93" s="2"/>
      <c r="E93" s="2"/>
      <c r="F93" s="2"/>
      <c r="G93" s="2"/>
      <c r="L93" s="2"/>
      <c r="M93" s="2"/>
      <c r="O93" s="2"/>
    </row>
    <row r="94" ht="12.75" customHeight="1">
      <c r="A94" s="2"/>
      <c r="B94" s="2"/>
      <c r="C94" s="2"/>
      <c r="E94" s="2"/>
      <c r="F94" s="2"/>
      <c r="G94" s="2"/>
      <c r="L94" s="2"/>
      <c r="M94" s="2"/>
      <c r="O94" s="2"/>
    </row>
    <row r="95" ht="12.75" customHeight="1">
      <c r="A95" s="2"/>
      <c r="B95" s="2"/>
      <c r="C95" s="2"/>
      <c r="E95" s="2"/>
      <c r="F95" s="2"/>
      <c r="G95" s="2"/>
      <c r="I95" s="2"/>
      <c r="J95" s="2"/>
      <c r="L95" s="2"/>
      <c r="M95" s="2"/>
    </row>
    <row r="96" ht="12.75" customHeight="1">
      <c r="A96" s="2"/>
      <c r="B96" s="2"/>
      <c r="C96" s="2"/>
      <c r="E96" s="2"/>
      <c r="F96" s="2"/>
      <c r="G96" s="2"/>
      <c r="L96" s="2"/>
      <c r="M96" s="2"/>
      <c r="O96" s="2"/>
    </row>
    <row r="97" ht="12.75" customHeight="1">
      <c r="A97" s="2"/>
      <c r="B97" s="2"/>
      <c r="C97" s="2"/>
      <c r="E97" s="2"/>
      <c r="F97" s="2"/>
      <c r="G97" s="2"/>
      <c r="I97" s="2"/>
      <c r="L97" s="2"/>
      <c r="M97" s="2"/>
      <c r="O97" s="2"/>
    </row>
    <row r="98" ht="12.75" customHeight="1">
      <c r="A98" s="2"/>
      <c r="B98" s="2"/>
      <c r="C98" s="2"/>
      <c r="E98" s="2"/>
      <c r="F98" s="2"/>
      <c r="G98" s="2"/>
      <c r="I98" s="2"/>
      <c r="L98" s="2"/>
      <c r="M98" s="2"/>
    </row>
    <row r="99" ht="12.75" customHeight="1">
      <c r="A99" s="2"/>
      <c r="B99" s="2"/>
      <c r="C99" s="2"/>
      <c r="E99" s="2"/>
      <c r="F99" s="2"/>
      <c r="G99" s="2"/>
      <c r="I99" s="2"/>
      <c r="J99" s="2"/>
      <c r="L99" s="2"/>
      <c r="M99" s="2"/>
      <c r="O99" s="2"/>
    </row>
    <row r="100" ht="12.75" customHeight="1">
      <c r="A100" s="2"/>
      <c r="B100" s="2"/>
      <c r="C100" s="2"/>
      <c r="E100" s="2"/>
      <c r="F100" s="2"/>
      <c r="G100" s="2"/>
      <c r="I100" s="2"/>
      <c r="L100" s="2"/>
      <c r="M100" s="2"/>
      <c r="O100" s="2"/>
    </row>
    <row r="101" ht="12.75" customHeight="1">
      <c r="A101" s="2"/>
      <c r="B101" s="2"/>
      <c r="C101" s="2"/>
      <c r="E101" s="2"/>
      <c r="F101" s="2"/>
      <c r="G101" s="2"/>
      <c r="I101" s="2"/>
      <c r="L101" s="2"/>
      <c r="M101" s="2"/>
      <c r="O101" s="2"/>
    </row>
    <row r="102" ht="12.75" customHeight="1">
      <c r="A102" s="2"/>
      <c r="B102" s="2"/>
      <c r="C102" s="2"/>
      <c r="E102" s="2"/>
      <c r="F102" s="2"/>
      <c r="G102" s="2"/>
      <c r="I102" s="2"/>
      <c r="J102" s="2"/>
      <c r="L102" s="2"/>
      <c r="M102" s="2"/>
      <c r="O102" s="2"/>
    </row>
    <row r="103" ht="12.75" customHeight="1">
      <c r="A103" s="2"/>
      <c r="B103" s="2"/>
      <c r="C103" s="2"/>
      <c r="E103" s="2"/>
      <c r="F103" s="2"/>
      <c r="G103" s="2"/>
      <c r="I103" s="2"/>
      <c r="L103" s="2"/>
      <c r="M103" s="2"/>
      <c r="O103" s="2"/>
    </row>
    <row r="104" ht="12.75" customHeight="1">
      <c r="A104" s="2"/>
      <c r="B104" s="2"/>
      <c r="C104" s="2"/>
      <c r="E104" s="2"/>
      <c r="F104" s="2"/>
      <c r="G104" s="2"/>
      <c r="I104" s="2"/>
      <c r="L104" s="2"/>
      <c r="M104" s="2"/>
      <c r="O104" s="2"/>
    </row>
    <row r="105" ht="12.75" customHeight="1">
      <c r="A105" s="2"/>
      <c r="B105" s="2"/>
      <c r="C105" s="2"/>
      <c r="E105" s="2"/>
      <c r="F105" s="2"/>
      <c r="G105" s="2"/>
      <c r="L105" s="2"/>
      <c r="M105" s="2"/>
      <c r="O105" s="2"/>
    </row>
    <row r="106" ht="12.75" customHeight="1">
      <c r="A106" s="2"/>
      <c r="B106" s="2"/>
      <c r="C106" s="2"/>
      <c r="E106" s="2"/>
      <c r="F106" s="2"/>
      <c r="G106" s="2"/>
      <c r="I106" s="2"/>
      <c r="L106" s="2"/>
      <c r="M106" s="2"/>
    </row>
    <row r="107" ht="12.75" customHeight="1">
      <c r="A107" s="2"/>
      <c r="B107" s="2"/>
      <c r="C107" s="2"/>
      <c r="E107" s="2"/>
      <c r="F107" s="2"/>
      <c r="G107" s="2"/>
      <c r="I107" s="2"/>
      <c r="L107" s="2"/>
      <c r="M107" s="2"/>
      <c r="O107" s="2"/>
    </row>
    <row r="108" ht="12.75" customHeight="1">
      <c r="A108" s="2"/>
      <c r="B108" s="2"/>
      <c r="C108" s="2"/>
      <c r="E108" s="2"/>
      <c r="F108" s="2"/>
      <c r="G108" s="2"/>
      <c r="I108" s="2"/>
      <c r="J108" s="2"/>
      <c r="L108" s="2"/>
      <c r="M108" s="2"/>
      <c r="O108" s="2"/>
    </row>
    <row r="109" ht="12.75" customHeight="1">
      <c r="A109" s="2"/>
      <c r="B109" s="2"/>
      <c r="C109" s="2"/>
      <c r="E109" s="2"/>
      <c r="F109" s="2"/>
      <c r="G109" s="2"/>
      <c r="I109" s="2"/>
      <c r="L109" s="2"/>
      <c r="M109" s="2"/>
      <c r="O109" s="2"/>
    </row>
    <row r="110" ht="12.75" customHeight="1">
      <c r="A110" s="2"/>
      <c r="B110" s="2"/>
      <c r="C110" s="2"/>
      <c r="E110" s="2"/>
      <c r="F110" s="2"/>
      <c r="G110" s="2"/>
      <c r="I110" s="2"/>
      <c r="L110" s="2"/>
      <c r="M110" s="2"/>
    </row>
    <row r="111" ht="12.75" customHeight="1">
      <c r="A111" s="2"/>
      <c r="B111" s="2"/>
      <c r="C111" s="2"/>
      <c r="E111" s="2"/>
      <c r="F111" s="2"/>
      <c r="G111" s="2"/>
      <c r="I111" s="2"/>
      <c r="J111" s="2"/>
      <c r="L111" s="2"/>
      <c r="M111" s="2"/>
      <c r="O111" s="2"/>
    </row>
    <row r="112" ht="12.75" customHeight="1">
      <c r="A112" s="2"/>
      <c r="B112" s="2"/>
      <c r="C112" s="2"/>
      <c r="E112" s="2"/>
      <c r="F112" s="2"/>
      <c r="G112" s="2"/>
      <c r="I112" s="2"/>
      <c r="L112" s="2"/>
      <c r="M112" s="2"/>
      <c r="O112" s="2"/>
    </row>
    <row r="113" ht="12.75" customHeight="1">
      <c r="A113" s="2"/>
      <c r="B113" s="2"/>
      <c r="C113" s="2"/>
      <c r="E113" s="2"/>
      <c r="F113" s="2"/>
      <c r="G113" s="2"/>
      <c r="L113" s="2"/>
      <c r="M113" s="2"/>
      <c r="O113" s="2"/>
    </row>
    <row r="114" ht="12.75" customHeight="1">
      <c r="A114" s="2"/>
      <c r="B114" s="2"/>
      <c r="C114" s="2"/>
      <c r="E114" s="2"/>
      <c r="F114" s="2"/>
      <c r="G114" s="2"/>
      <c r="L114" s="2"/>
      <c r="M114" s="2"/>
      <c r="O114" s="2"/>
    </row>
    <row r="115" ht="12.75" customHeight="1">
      <c r="A115" s="2"/>
      <c r="B115" s="2"/>
      <c r="C115" s="2"/>
      <c r="E115" s="2"/>
      <c r="F115" s="2"/>
      <c r="G115" s="2"/>
      <c r="L115" s="2"/>
      <c r="M115" s="2"/>
    </row>
    <row r="116" ht="12.75" customHeight="1">
      <c r="A116" s="2"/>
      <c r="B116" s="2"/>
      <c r="C116" s="2"/>
      <c r="E116" s="2"/>
      <c r="F116" s="2"/>
      <c r="G116" s="2"/>
      <c r="L116" s="2"/>
      <c r="M116" s="2"/>
    </row>
    <row r="117" ht="12.75" customHeight="1">
      <c r="A117" s="2"/>
      <c r="B117" s="2"/>
      <c r="C117" s="2"/>
      <c r="E117" s="2"/>
      <c r="F117" s="2"/>
      <c r="G117" s="2"/>
      <c r="L117" s="2"/>
      <c r="M117" s="2"/>
      <c r="O117" s="2"/>
    </row>
    <row r="118" ht="12.75" customHeight="1">
      <c r="A118" s="2"/>
      <c r="B118" s="2"/>
      <c r="C118" s="2"/>
      <c r="E118" s="2"/>
      <c r="F118" s="2"/>
      <c r="G118" s="2"/>
      <c r="I118" s="2"/>
      <c r="J118" s="2"/>
      <c r="L118" s="2"/>
      <c r="M118" s="2"/>
      <c r="O118" s="2"/>
    </row>
    <row r="119" ht="12.75" customHeight="1">
      <c r="A119" s="2"/>
      <c r="B119" s="2"/>
      <c r="C119" s="2"/>
      <c r="E119" s="2"/>
      <c r="F119" s="2"/>
      <c r="G119" s="2"/>
      <c r="I119" s="2"/>
      <c r="L119" s="2"/>
      <c r="M119" s="2"/>
      <c r="O119" s="2"/>
    </row>
    <row r="120" ht="12.75" customHeight="1">
      <c r="A120" s="2"/>
      <c r="B120" s="2"/>
      <c r="C120" s="2"/>
      <c r="E120" s="2"/>
      <c r="F120" s="2"/>
      <c r="G120" s="2"/>
      <c r="I120" s="2"/>
      <c r="L120" s="2"/>
      <c r="M120" s="2"/>
    </row>
    <row r="121" ht="12.75" customHeight="1">
      <c r="A121" s="2"/>
      <c r="B121" s="2"/>
      <c r="C121" s="2"/>
      <c r="E121" s="2"/>
      <c r="F121" s="2"/>
      <c r="G121" s="2"/>
      <c r="I121" s="2"/>
      <c r="L121" s="2"/>
      <c r="M121" s="2"/>
    </row>
    <row r="122" ht="12.75" customHeight="1">
      <c r="A122" s="2"/>
      <c r="B122" s="2"/>
      <c r="C122" s="2"/>
      <c r="E122" s="2"/>
      <c r="F122" s="2"/>
      <c r="G122" s="2"/>
      <c r="I122" s="2"/>
      <c r="L122" s="2"/>
      <c r="M122" s="2"/>
    </row>
    <row r="123" ht="12.75" customHeight="1">
      <c r="A123" s="2"/>
      <c r="B123" s="2"/>
      <c r="C123" s="2"/>
      <c r="E123" s="2"/>
      <c r="F123" s="2"/>
      <c r="G123" s="2"/>
      <c r="I123" s="2"/>
      <c r="J123" s="2"/>
      <c r="L123" s="2"/>
      <c r="M123" s="2"/>
      <c r="N123" s="2"/>
    </row>
    <row r="124" ht="12.75" customHeight="1">
      <c r="A124" s="2"/>
      <c r="B124" s="2"/>
      <c r="C124" s="2"/>
      <c r="E124" s="2"/>
      <c r="F124" s="2"/>
      <c r="G124" s="2"/>
      <c r="I124" s="2"/>
      <c r="J124" s="2"/>
      <c r="L124" s="2"/>
      <c r="M124" s="2"/>
    </row>
    <row r="125" ht="12.75" customHeight="1">
      <c r="A125" s="2"/>
      <c r="B125" s="2"/>
      <c r="C125" s="2"/>
      <c r="E125" s="2"/>
      <c r="F125" s="2"/>
      <c r="G125" s="2"/>
      <c r="M125" s="2"/>
    </row>
    <row r="126" ht="12.75" customHeight="1">
      <c r="A126" s="2"/>
      <c r="B126" s="2"/>
      <c r="C126" s="2"/>
      <c r="E126" s="2"/>
      <c r="F126" s="2"/>
      <c r="G126" s="2"/>
      <c r="I126" s="2"/>
      <c r="M126" s="2"/>
    </row>
    <row r="127" ht="12.75" customHeight="1">
      <c r="A127" s="2"/>
      <c r="B127" s="2"/>
      <c r="C127" s="2"/>
      <c r="E127" s="2"/>
      <c r="F127" s="2"/>
      <c r="G127" s="2"/>
      <c r="I127" s="2"/>
      <c r="L127" s="2"/>
      <c r="M127" s="2"/>
    </row>
    <row r="128" ht="12.75" customHeight="1">
      <c r="A128" s="2"/>
      <c r="B128" s="2"/>
      <c r="C128" s="2"/>
      <c r="E128" s="2"/>
      <c r="F128" s="2"/>
      <c r="G128" s="2"/>
      <c r="I128" s="2"/>
      <c r="L128" s="2"/>
      <c r="M128" s="2"/>
    </row>
    <row r="129" ht="12.75" customHeight="1">
      <c r="A129" s="2"/>
      <c r="B129" s="2"/>
      <c r="C129" s="2"/>
      <c r="E129" s="2"/>
      <c r="F129" s="2"/>
      <c r="G129" s="2"/>
      <c r="I129" s="2"/>
      <c r="J129" s="2"/>
      <c r="L129" s="2"/>
      <c r="M129" s="2"/>
    </row>
    <row r="130" ht="12.75" customHeight="1">
      <c r="A130" s="2"/>
      <c r="B130" s="2"/>
      <c r="C130" s="2"/>
      <c r="E130" s="2"/>
      <c r="F130" s="2"/>
      <c r="G130" s="2"/>
      <c r="I130" s="2"/>
      <c r="M130" s="2"/>
    </row>
    <row r="131" ht="12.75" customHeight="1">
      <c r="A131" s="2"/>
      <c r="B131" s="2"/>
      <c r="C131" s="2"/>
      <c r="E131" s="2"/>
      <c r="F131" s="2"/>
      <c r="G131" s="2"/>
      <c r="I131" s="2"/>
      <c r="L131" s="2"/>
      <c r="M131" s="2"/>
      <c r="O131" s="2"/>
    </row>
    <row r="132" ht="12.75" customHeight="1">
      <c r="A132" s="2"/>
      <c r="B132" s="2"/>
      <c r="C132" s="2"/>
      <c r="E132" s="2"/>
      <c r="F132" s="2"/>
      <c r="G132" s="2"/>
      <c r="L132" s="2"/>
      <c r="M132" s="2"/>
    </row>
    <row r="133" ht="12.75" customHeight="1">
      <c r="A133" s="2"/>
      <c r="B133" s="2"/>
      <c r="C133" s="2"/>
      <c r="E133" s="2"/>
      <c r="F133" s="2"/>
      <c r="G133" s="2"/>
      <c r="I133" s="2"/>
      <c r="L133" s="2"/>
      <c r="M133" s="2"/>
    </row>
    <row r="134" ht="12.75" customHeight="1">
      <c r="A134" s="2"/>
      <c r="B134" s="2"/>
      <c r="C134" s="2"/>
      <c r="E134" s="2"/>
      <c r="F134" s="2"/>
      <c r="G134" s="2"/>
      <c r="I134" s="2"/>
      <c r="J134" s="2"/>
      <c r="L134" s="2"/>
      <c r="M134" s="2"/>
    </row>
    <row r="135" ht="12.75" customHeight="1">
      <c r="A135" s="2"/>
      <c r="B135" s="2"/>
      <c r="C135" s="2"/>
      <c r="E135" s="2"/>
      <c r="F135" s="2"/>
      <c r="G135" s="2"/>
      <c r="I135" s="2"/>
      <c r="L135" s="2"/>
      <c r="M135" s="2"/>
    </row>
    <row r="136" ht="12.75" customHeight="1">
      <c r="A136" s="2"/>
      <c r="B136" s="2"/>
      <c r="C136" s="2"/>
      <c r="E136" s="2"/>
      <c r="F136" s="2"/>
      <c r="G136" s="2"/>
      <c r="L136" s="2"/>
      <c r="M136" s="2"/>
      <c r="O136" s="2"/>
    </row>
    <row r="137" ht="12.75" customHeight="1">
      <c r="A137" s="2"/>
      <c r="B137" s="2"/>
      <c r="C137" s="2"/>
      <c r="E137" s="2"/>
      <c r="F137" s="2"/>
      <c r="G137" s="2"/>
      <c r="I137" s="2"/>
      <c r="J137" s="2"/>
      <c r="L137" s="2"/>
      <c r="M137" s="2"/>
    </row>
    <row r="138" ht="12.75" customHeight="1">
      <c r="A138" s="2"/>
      <c r="B138" s="2"/>
      <c r="C138" s="2"/>
      <c r="E138" s="2"/>
      <c r="F138" s="2"/>
      <c r="G138" s="2"/>
      <c r="I138" s="2"/>
      <c r="L138" s="2"/>
      <c r="M138" s="2"/>
      <c r="O138" s="2"/>
    </row>
    <row r="139" ht="12.75" customHeight="1">
      <c r="A139" s="2"/>
      <c r="B139" s="2"/>
      <c r="C139" s="2"/>
      <c r="E139" s="2"/>
      <c r="F139" s="2"/>
      <c r="G139" s="2"/>
      <c r="I139" s="2"/>
      <c r="L139" s="2"/>
      <c r="M139" s="2"/>
      <c r="O139" s="2"/>
    </row>
    <row r="140" ht="12.75" customHeight="1">
      <c r="A140" s="2"/>
      <c r="B140" s="2"/>
      <c r="C140" s="2"/>
      <c r="E140" s="2"/>
      <c r="F140" s="2"/>
      <c r="G140" s="2"/>
      <c r="L140" s="2"/>
      <c r="M140" s="2"/>
    </row>
    <row r="141" ht="12.75" customHeight="1">
      <c r="A141" s="2"/>
      <c r="B141" s="2"/>
      <c r="C141" s="2"/>
      <c r="E141" s="2"/>
      <c r="F141" s="2"/>
      <c r="G141" s="2"/>
      <c r="L141" s="2"/>
      <c r="M141" s="2"/>
      <c r="O141" s="2"/>
    </row>
    <row r="142" ht="12.75" customHeight="1">
      <c r="A142" s="2"/>
      <c r="B142" s="2"/>
      <c r="C142" s="2"/>
      <c r="E142" s="2"/>
      <c r="F142" s="2"/>
      <c r="G142" s="2"/>
      <c r="I142" s="2"/>
      <c r="L142" s="25"/>
      <c r="M142" s="25"/>
      <c r="O142" s="2"/>
    </row>
    <row r="143" ht="12.75" customHeight="1">
      <c r="A143" s="2"/>
      <c r="B143" s="2"/>
      <c r="C143" s="2"/>
      <c r="E143" s="2"/>
      <c r="F143" s="2"/>
      <c r="G143" s="2"/>
      <c r="I143" s="2"/>
      <c r="J143" s="2"/>
      <c r="L143" s="2"/>
      <c r="M143" s="2"/>
    </row>
    <row r="144" ht="12.75" customHeight="1">
      <c r="A144" s="2"/>
      <c r="B144" s="2"/>
      <c r="C144" s="2"/>
      <c r="E144" s="2"/>
      <c r="F144" s="2"/>
      <c r="G144" s="2"/>
      <c r="I144" s="2"/>
      <c r="L144" s="25"/>
      <c r="M144" s="25"/>
      <c r="O144" s="2"/>
    </row>
    <row r="145" ht="12.75" customHeight="1">
      <c r="A145" s="2"/>
      <c r="B145" s="2"/>
      <c r="C145" s="2"/>
      <c r="E145" s="2"/>
      <c r="F145" s="2"/>
      <c r="G145" s="2"/>
      <c r="L145" s="2"/>
      <c r="M145" s="2"/>
    </row>
    <row r="146" ht="12.75" customHeight="1">
      <c r="A146" s="2"/>
      <c r="B146" s="2"/>
      <c r="C146" s="2"/>
      <c r="E146" s="2"/>
      <c r="F146" s="2"/>
      <c r="G146" s="2"/>
      <c r="I146" s="2"/>
      <c r="L146" s="2"/>
      <c r="M146" s="2"/>
    </row>
    <row r="147" ht="12.75" customHeight="1">
      <c r="A147" s="2"/>
      <c r="B147" s="2"/>
      <c r="C147" s="2"/>
      <c r="E147" s="2"/>
      <c r="F147" s="2"/>
      <c r="G147" s="2"/>
      <c r="I147" s="2"/>
      <c r="L147" s="2"/>
      <c r="M147" s="2"/>
      <c r="O147" s="2"/>
    </row>
    <row r="148" ht="12.75" customHeight="1">
      <c r="A148" s="2"/>
      <c r="B148" s="2"/>
      <c r="C148" s="2"/>
      <c r="E148" s="2"/>
      <c r="F148" s="2"/>
      <c r="G148" s="2"/>
      <c r="I148" s="2"/>
      <c r="L148" s="2"/>
      <c r="M148" s="2"/>
    </row>
    <row r="149" ht="12.75" customHeight="1">
      <c r="A149" s="2"/>
      <c r="B149" s="2"/>
      <c r="C149" s="2"/>
      <c r="E149" s="2"/>
      <c r="F149" s="2"/>
      <c r="G149" s="2"/>
      <c r="L149" s="2"/>
      <c r="M149" s="2"/>
      <c r="O149" s="2"/>
    </row>
    <row r="150" ht="12.75" customHeight="1">
      <c r="A150" s="2"/>
      <c r="B150" s="2"/>
      <c r="C150" s="2"/>
      <c r="E150" s="2"/>
      <c r="F150" s="2"/>
      <c r="G150" s="2"/>
      <c r="L150" s="2"/>
      <c r="M150" s="2"/>
      <c r="O150" s="2"/>
    </row>
    <row r="151" ht="12.75" customHeight="1">
      <c r="A151" s="2"/>
      <c r="B151" s="2"/>
      <c r="C151" s="2"/>
      <c r="E151" s="2"/>
      <c r="F151" s="2"/>
      <c r="G151" s="2"/>
      <c r="I151" s="2"/>
      <c r="L151" s="2"/>
      <c r="M151" s="2"/>
      <c r="O151" s="2"/>
    </row>
    <row r="152" ht="12.75" customHeight="1">
      <c r="A152" s="2"/>
      <c r="B152" s="2"/>
      <c r="C152" s="2"/>
      <c r="E152" s="2"/>
      <c r="F152" s="2"/>
      <c r="G152" s="2"/>
      <c r="L152" s="2"/>
      <c r="M152" s="2"/>
    </row>
    <row r="153" ht="12.75" customHeight="1">
      <c r="A153" s="2"/>
      <c r="B153" s="2"/>
      <c r="C153" s="2"/>
      <c r="E153" s="2"/>
      <c r="F153" s="2"/>
      <c r="G153" s="2"/>
      <c r="L153" s="2"/>
      <c r="M153" s="2"/>
    </row>
    <row r="154" ht="12.75" customHeight="1">
      <c r="A154" s="2"/>
      <c r="B154" s="2"/>
      <c r="C154" s="2"/>
      <c r="E154" s="2"/>
      <c r="F154" s="2"/>
      <c r="G154" s="2"/>
      <c r="L154" s="2"/>
      <c r="M154" s="2"/>
      <c r="O154" s="2"/>
    </row>
    <row r="155" ht="12.75" customHeight="1">
      <c r="A155" s="2"/>
      <c r="B155" s="2"/>
      <c r="C155" s="2"/>
      <c r="E155" s="2"/>
      <c r="F155" s="2"/>
      <c r="G155" s="2"/>
      <c r="I155" s="2"/>
      <c r="L155" s="2"/>
      <c r="M155" s="2"/>
      <c r="O155" s="2"/>
    </row>
    <row r="156" ht="12.75" customHeight="1">
      <c r="A156" s="2"/>
      <c r="B156" s="2"/>
      <c r="C156" s="2"/>
      <c r="E156" s="2"/>
      <c r="F156" s="2"/>
      <c r="G156" s="2"/>
      <c r="L156" s="2"/>
      <c r="M156" s="2"/>
    </row>
    <row r="157" ht="12.75" customHeight="1">
      <c r="A157" s="2"/>
      <c r="B157" s="2"/>
      <c r="C157" s="2"/>
      <c r="E157" s="2"/>
      <c r="F157" s="2"/>
      <c r="G157" s="2"/>
      <c r="I157" s="2"/>
      <c r="J157" s="2"/>
      <c r="L157" s="2"/>
      <c r="M157" s="2"/>
      <c r="O157" s="2"/>
    </row>
    <row r="158" ht="12.75" customHeight="1">
      <c r="A158" s="2"/>
      <c r="B158" s="2"/>
      <c r="C158" s="2"/>
      <c r="E158" s="2"/>
      <c r="F158" s="2"/>
      <c r="G158" s="2"/>
      <c r="H158" s="2"/>
      <c r="I158" s="2"/>
      <c r="L158" s="2"/>
      <c r="M158" s="2"/>
      <c r="O158" s="2"/>
    </row>
    <row r="159" ht="12.75" customHeight="1">
      <c r="A159" s="2"/>
      <c r="B159" s="2"/>
      <c r="C159" s="2"/>
      <c r="E159" s="2"/>
      <c r="F159" s="2"/>
      <c r="G159" s="2"/>
      <c r="I159" s="2"/>
      <c r="L159" s="2"/>
      <c r="M159" s="2"/>
    </row>
    <row r="160" ht="12.75" customHeight="1">
      <c r="A160" s="2"/>
      <c r="B160" s="2"/>
      <c r="C160" s="2"/>
      <c r="E160" s="2"/>
      <c r="F160" s="2"/>
      <c r="G160" s="2"/>
      <c r="I160" s="2"/>
      <c r="L160" s="2"/>
      <c r="M160" s="2"/>
    </row>
    <row r="161" ht="12.75" customHeight="1">
      <c r="A161" s="2"/>
      <c r="B161" s="2"/>
      <c r="C161" s="2"/>
      <c r="E161" s="2"/>
      <c r="F161" s="2"/>
      <c r="G161" s="2"/>
      <c r="I161" s="2"/>
      <c r="L161" s="22"/>
      <c r="M161" s="22"/>
      <c r="O161" s="2"/>
    </row>
    <row r="162" ht="12.75" customHeight="1">
      <c r="A162" s="2"/>
      <c r="B162" s="2"/>
      <c r="C162" s="2"/>
      <c r="E162" s="2"/>
      <c r="F162" s="2"/>
      <c r="G162" s="2"/>
      <c r="I162" s="2"/>
      <c r="L162" s="2"/>
      <c r="M162" s="2"/>
    </row>
    <row r="163" ht="12.75" customHeight="1">
      <c r="A163" s="2"/>
      <c r="B163" s="2"/>
      <c r="C163" s="2"/>
      <c r="E163" s="2"/>
      <c r="F163" s="2"/>
      <c r="G163" s="2"/>
      <c r="L163" s="2"/>
      <c r="M163" s="2"/>
    </row>
    <row r="164" ht="12.75" customHeight="1">
      <c r="A164" s="2"/>
      <c r="B164" s="2"/>
      <c r="C164" s="2"/>
      <c r="E164" s="2"/>
      <c r="F164" s="2"/>
      <c r="G164" s="2"/>
      <c r="L164" s="2"/>
      <c r="M164" s="2"/>
    </row>
    <row r="165" ht="12.75" customHeight="1">
      <c r="A165" s="2"/>
      <c r="B165" s="2"/>
      <c r="C165" s="2"/>
      <c r="E165" s="2"/>
      <c r="F165" s="2"/>
      <c r="G165" s="2"/>
      <c r="I165" s="2"/>
      <c r="J165" s="2"/>
      <c r="L165" s="2"/>
      <c r="M165" s="2"/>
    </row>
    <row r="166" ht="12.75" customHeight="1">
      <c r="A166" s="2"/>
      <c r="B166" s="2"/>
      <c r="C166" s="2"/>
      <c r="E166" s="2"/>
      <c r="F166" s="2"/>
      <c r="G166" s="2"/>
      <c r="L166" s="2"/>
      <c r="M166" s="2"/>
      <c r="O166" s="2"/>
    </row>
    <row r="167" ht="12.75" customHeight="1">
      <c r="A167" s="2"/>
      <c r="B167" s="2"/>
      <c r="C167" s="2"/>
      <c r="E167" s="2"/>
      <c r="F167" s="2"/>
      <c r="G167" s="2"/>
      <c r="I167" s="2"/>
      <c r="L167" s="2"/>
      <c r="M167" s="2"/>
      <c r="O167" s="2"/>
    </row>
    <row r="168" ht="12.75" customHeight="1">
      <c r="A168" s="2"/>
      <c r="B168" s="2"/>
      <c r="C168" s="2"/>
      <c r="E168" s="2"/>
      <c r="F168" s="2"/>
      <c r="G168" s="2"/>
      <c r="L168" s="2"/>
      <c r="M168" s="2"/>
    </row>
    <row r="169" ht="12.75" customHeight="1">
      <c r="A169" s="2"/>
      <c r="B169" s="2"/>
      <c r="C169" s="2"/>
      <c r="E169" s="2"/>
      <c r="F169" s="2"/>
      <c r="G169" s="2"/>
      <c r="I169" s="2"/>
      <c r="L169" s="2"/>
      <c r="M169" s="2"/>
      <c r="O169" s="2"/>
    </row>
    <row r="170" ht="12.75" customHeight="1">
      <c r="A170" s="2"/>
      <c r="B170" s="2"/>
      <c r="C170" s="2"/>
      <c r="E170" s="2"/>
      <c r="F170" s="2"/>
      <c r="G170" s="2"/>
      <c r="M170" s="2"/>
    </row>
    <row r="171" ht="12.75" customHeight="1">
      <c r="A171" s="2"/>
      <c r="B171" s="2"/>
      <c r="C171" s="2"/>
      <c r="E171" s="2"/>
      <c r="F171" s="2"/>
      <c r="G171" s="2"/>
      <c r="L171" s="2"/>
      <c r="M171" s="2"/>
    </row>
    <row r="172" ht="12.75" customHeight="1">
      <c r="A172" s="2"/>
      <c r="B172" s="2"/>
      <c r="C172" s="2"/>
      <c r="E172" s="2"/>
      <c r="F172" s="2"/>
      <c r="G172" s="2"/>
      <c r="L172" s="2"/>
      <c r="M172" s="2"/>
    </row>
    <row r="173" ht="12.75" customHeight="1">
      <c r="A173" s="2"/>
      <c r="B173" s="2"/>
      <c r="C173" s="2"/>
      <c r="E173" s="2"/>
      <c r="F173" s="2"/>
      <c r="G173" s="2"/>
      <c r="I173" s="2"/>
      <c r="L173" s="2"/>
      <c r="M173" s="2"/>
      <c r="O173" s="2"/>
    </row>
    <row r="174" ht="12.75" customHeight="1">
      <c r="A174" s="2"/>
      <c r="B174" s="2"/>
      <c r="C174" s="2"/>
      <c r="E174" s="2"/>
      <c r="F174" s="2"/>
      <c r="G174" s="2"/>
      <c r="M174" s="2"/>
    </row>
    <row r="175" ht="12.75" customHeight="1">
      <c r="A175" s="2"/>
      <c r="B175" s="2"/>
      <c r="C175" s="2"/>
      <c r="E175" s="2"/>
      <c r="F175" s="2"/>
      <c r="G175" s="2"/>
      <c r="L175" s="2"/>
      <c r="M175" s="2"/>
    </row>
    <row r="176" ht="12.75" customHeight="1">
      <c r="A176" s="2"/>
      <c r="B176" s="2"/>
      <c r="C176" s="2"/>
      <c r="E176" s="2"/>
      <c r="F176" s="2"/>
      <c r="G176" s="2"/>
      <c r="H176" s="2"/>
      <c r="I176" s="2"/>
      <c r="L176" s="2"/>
      <c r="M176" s="2"/>
      <c r="O176" s="2"/>
    </row>
    <row r="177" ht="12.75" customHeight="1">
      <c r="A177" s="2"/>
      <c r="B177" s="2"/>
      <c r="C177" s="2"/>
      <c r="E177" s="2"/>
      <c r="F177" s="2"/>
      <c r="G177" s="2"/>
      <c r="L177" s="2"/>
      <c r="M177" s="2"/>
      <c r="O177" s="2"/>
    </row>
    <row r="178" ht="12.75" customHeight="1">
      <c r="A178" s="2"/>
      <c r="B178" s="2"/>
      <c r="C178" s="2"/>
      <c r="E178" s="2"/>
      <c r="F178" s="2"/>
      <c r="G178" s="2"/>
      <c r="I178" s="2"/>
      <c r="L178" s="22"/>
      <c r="M178" s="22"/>
      <c r="O178" s="2"/>
    </row>
    <row r="179" ht="12.75" customHeight="1">
      <c r="A179" s="2"/>
      <c r="B179" s="2"/>
      <c r="C179" s="2"/>
      <c r="E179" s="2"/>
      <c r="F179" s="2"/>
      <c r="G179" s="2"/>
      <c r="I179" s="2"/>
      <c r="L179" s="2"/>
      <c r="M179" s="2"/>
    </row>
    <row r="180" ht="12.75" customHeight="1">
      <c r="A180" s="2"/>
      <c r="B180" s="2"/>
      <c r="C180" s="2"/>
      <c r="E180" s="2"/>
      <c r="F180" s="2"/>
      <c r="G180" s="2"/>
      <c r="M180" s="2"/>
    </row>
    <row r="181" ht="12.75" customHeight="1">
      <c r="A181" s="2"/>
      <c r="B181" s="2"/>
      <c r="C181" s="2"/>
      <c r="E181" s="2"/>
      <c r="F181" s="2"/>
      <c r="G181" s="2"/>
      <c r="I181" s="2"/>
      <c r="L181" s="25"/>
      <c r="M181" s="25"/>
    </row>
    <row r="182" ht="12.75" customHeight="1">
      <c r="A182" s="2"/>
      <c r="B182" s="2"/>
      <c r="C182" s="2"/>
      <c r="E182" s="2"/>
      <c r="F182" s="2"/>
      <c r="G182" s="2"/>
      <c r="L182" s="2"/>
      <c r="M182" s="10"/>
    </row>
    <row r="183" ht="12.75" customHeight="1">
      <c r="A183" s="2"/>
      <c r="B183" s="2"/>
      <c r="C183" s="2"/>
      <c r="E183" s="2"/>
      <c r="F183" s="2"/>
      <c r="G183" s="2"/>
      <c r="I183" s="2"/>
      <c r="L183" s="2"/>
      <c r="M183" s="2"/>
    </row>
    <row r="184" ht="12.75" customHeight="1">
      <c r="A184" s="2"/>
      <c r="B184" s="2"/>
      <c r="C184" s="2"/>
      <c r="E184" s="2"/>
      <c r="F184" s="2"/>
      <c r="G184" s="2"/>
      <c r="I184" s="2"/>
      <c r="L184" s="2"/>
      <c r="M184" s="2"/>
      <c r="O184" s="2"/>
    </row>
    <row r="185" ht="12.75" customHeight="1">
      <c r="A185" s="2"/>
      <c r="B185" s="2"/>
      <c r="C185" s="2"/>
      <c r="E185" s="2"/>
      <c r="F185" s="2"/>
      <c r="G185" s="2"/>
      <c r="I185" s="2"/>
      <c r="J185" s="2"/>
    </row>
    <row r="186" ht="12.75" customHeight="1">
      <c r="A186" s="2"/>
      <c r="B186" s="2"/>
      <c r="C186" s="2"/>
      <c r="E186" s="2"/>
      <c r="F186" s="2"/>
      <c r="G186" s="2"/>
    </row>
    <row r="187" ht="12.75" customHeight="1">
      <c r="A187" s="2"/>
      <c r="B187" s="2"/>
      <c r="C187" s="2"/>
      <c r="E187" s="2"/>
      <c r="F187" s="2"/>
      <c r="G187" s="2"/>
      <c r="I187" s="2"/>
      <c r="L187" s="25"/>
      <c r="M187" s="25"/>
    </row>
    <row r="188" ht="12.75" customHeight="1">
      <c r="A188" s="2"/>
      <c r="B188" s="2"/>
      <c r="C188" s="2"/>
      <c r="E188" s="2"/>
      <c r="F188" s="2"/>
      <c r="G188" s="2"/>
      <c r="M188" s="2"/>
    </row>
    <row r="189" ht="12.75" customHeight="1">
      <c r="A189" s="2"/>
      <c r="B189" s="2"/>
      <c r="C189" s="2"/>
      <c r="E189" s="2"/>
      <c r="F189" s="2"/>
      <c r="G189" s="2"/>
      <c r="L189" s="2"/>
      <c r="M189" s="2"/>
    </row>
    <row r="190" ht="12.75" customHeight="1">
      <c r="A190" s="2"/>
      <c r="B190" s="2"/>
      <c r="C190" s="2"/>
      <c r="E190" s="2"/>
      <c r="F190" s="2"/>
      <c r="G190" s="2"/>
      <c r="I190" s="2"/>
      <c r="J190" s="2"/>
    </row>
    <row r="191" ht="12.75" customHeight="1">
      <c r="A191" s="2"/>
      <c r="B191" s="2"/>
      <c r="C191" s="2"/>
      <c r="E191" s="2"/>
      <c r="F191" s="2"/>
      <c r="G191" s="2"/>
      <c r="I191" s="2"/>
      <c r="M191" s="2"/>
    </row>
    <row r="192" ht="12.75" customHeight="1">
      <c r="A192" s="2"/>
      <c r="B192" s="2"/>
      <c r="C192" s="2"/>
      <c r="E192" s="2"/>
      <c r="F192" s="2"/>
      <c r="G192" s="2"/>
      <c r="I192" s="2"/>
      <c r="L192" s="2"/>
      <c r="M192" s="2"/>
    </row>
    <row r="193" ht="12.75" customHeight="1">
      <c r="A193" s="2"/>
      <c r="B193" s="2"/>
      <c r="C193" s="2"/>
      <c r="E193" s="2"/>
      <c r="F193" s="2"/>
      <c r="G193" s="2"/>
      <c r="I193" s="2"/>
      <c r="L193" s="2"/>
      <c r="M193" s="2"/>
    </row>
    <row r="194" ht="12.75" customHeight="1">
      <c r="A194" s="2"/>
      <c r="B194" s="2"/>
      <c r="C194" s="2"/>
      <c r="E194" s="2"/>
      <c r="F194" s="2"/>
      <c r="G194" s="2"/>
    </row>
    <row r="195" ht="12.75" customHeight="1">
      <c r="A195" s="2"/>
      <c r="B195" s="2"/>
      <c r="C195" s="2"/>
      <c r="E195" s="2"/>
      <c r="F195" s="2"/>
      <c r="G195" s="2"/>
      <c r="L195" s="2"/>
      <c r="M195" s="2"/>
    </row>
    <row r="196" ht="12.75" customHeight="1">
      <c r="A196" s="2"/>
      <c r="B196" s="2"/>
      <c r="C196" s="2"/>
      <c r="E196" s="2"/>
      <c r="F196" s="2"/>
      <c r="G196" s="2"/>
      <c r="I196" s="2"/>
      <c r="L196" s="2"/>
      <c r="M196" s="2"/>
      <c r="O196" s="2"/>
    </row>
    <row r="197" ht="12.75" customHeight="1">
      <c r="A197" s="2"/>
      <c r="B197" s="2"/>
      <c r="C197" s="2"/>
      <c r="E197" s="2"/>
      <c r="F197" s="2"/>
      <c r="G197" s="2"/>
      <c r="I197" s="2"/>
      <c r="L197" s="2"/>
      <c r="M197" s="2"/>
    </row>
    <row r="198" ht="12.75" customHeight="1">
      <c r="A198" s="2"/>
      <c r="B198" s="2"/>
      <c r="C198" s="2"/>
      <c r="E198" s="2"/>
      <c r="F198" s="2"/>
      <c r="G198" s="2"/>
      <c r="I198" s="2"/>
      <c r="J198" s="2"/>
      <c r="L198" s="2"/>
      <c r="M198" s="2"/>
      <c r="O198" s="2"/>
    </row>
    <row r="199" ht="12.75" customHeight="1">
      <c r="A199" s="2"/>
      <c r="B199" s="2"/>
      <c r="C199" s="2"/>
      <c r="E199" s="2"/>
      <c r="F199" s="2"/>
      <c r="G199" s="2"/>
      <c r="L199" s="2"/>
      <c r="M199" s="2"/>
    </row>
    <row r="200" ht="12.75" customHeight="1">
      <c r="A200" s="2"/>
      <c r="B200" s="2"/>
      <c r="C200" s="2"/>
      <c r="E200" s="2"/>
      <c r="F200" s="2"/>
      <c r="G200" s="2"/>
      <c r="I200" s="2"/>
      <c r="L200" s="2"/>
      <c r="M200" s="2"/>
    </row>
    <row r="201" ht="12.75" customHeight="1">
      <c r="A201" s="2"/>
      <c r="B201" s="2"/>
      <c r="C201" s="2"/>
      <c r="E201" s="2"/>
      <c r="F201" s="2"/>
      <c r="G201" s="2"/>
      <c r="I201" s="2"/>
      <c r="L201" s="2"/>
      <c r="M201" s="2"/>
    </row>
    <row r="202" ht="12.75" customHeight="1">
      <c r="A202" s="2"/>
      <c r="B202" s="2"/>
      <c r="C202" s="2"/>
      <c r="E202" s="2"/>
      <c r="F202" s="2"/>
      <c r="G202" s="2"/>
      <c r="I202" s="2"/>
      <c r="J202" s="2"/>
      <c r="L202" s="2"/>
      <c r="M202" s="2"/>
    </row>
    <row r="203" ht="12.75" customHeight="1">
      <c r="A203" s="2"/>
      <c r="B203" s="2"/>
      <c r="C203" s="2"/>
      <c r="E203" s="2"/>
      <c r="F203" s="2"/>
      <c r="G203" s="2"/>
      <c r="I203" s="2"/>
      <c r="J203" s="2"/>
      <c r="M203" s="2"/>
    </row>
    <row r="204" ht="12.75" customHeight="1">
      <c r="A204" s="2"/>
      <c r="B204" s="2"/>
      <c r="C204" s="2"/>
      <c r="E204" s="2"/>
      <c r="F204" s="2"/>
      <c r="G204" s="2"/>
    </row>
    <row r="205" ht="12.75" customHeight="1">
      <c r="A205" s="2"/>
      <c r="B205" s="2"/>
      <c r="C205" s="2"/>
      <c r="E205" s="2"/>
      <c r="F205" s="2"/>
      <c r="G205" s="2"/>
      <c r="L205" s="2"/>
      <c r="M205" s="2"/>
    </row>
    <row r="206" ht="12.75" customHeight="1">
      <c r="A206" s="2"/>
      <c r="B206" s="2"/>
      <c r="C206" s="2"/>
      <c r="E206" s="2"/>
      <c r="F206" s="2"/>
      <c r="G206" s="2"/>
      <c r="I206" s="2"/>
      <c r="L206" s="2"/>
      <c r="M206" s="2"/>
    </row>
    <row r="207" ht="12.75" customHeight="1">
      <c r="A207" s="2"/>
      <c r="B207" s="2"/>
      <c r="C207" s="2"/>
      <c r="E207" s="2"/>
      <c r="F207" s="2"/>
      <c r="G207" s="2"/>
      <c r="I207" s="2"/>
      <c r="L207" s="2"/>
      <c r="M207" s="2"/>
    </row>
    <row r="208" ht="12.75" customHeight="1">
      <c r="A208" s="2"/>
      <c r="B208" s="2"/>
      <c r="C208" s="2"/>
      <c r="E208" s="2"/>
      <c r="F208" s="2"/>
      <c r="G208" s="2"/>
      <c r="I208" s="2"/>
      <c r="L208" s="2"/>
      <c r="M208" s="2"/>
    </row>
    <row r="209" ht="12.75" customHeight="1">
      <c r="A209" s="2"/>
      <c r="B209" s="2"/>
      <c r="C209" s="2"/>
      <c r="E209" s="2"/>
      <c r="F209" s="2"/>
      <c r="G209" s="2"/>
      <c r="L209" s="2"/>
      <c r="M209" s="2"/>
    </row>
    <row r="210" ht="12.75" customHeight="1">
      <c r="A210" s="2"/>
      <c r="B210" s="2"/>
      <c r="C210" s="2"/>
      <c r="E210" s="2"/>
      <c r="F210" s="2"/>
      <c r="G210" s="2"/>
      <c r="L210" s="2"/>
      <c r="M210" s="2"/>
    </row>
    <row r="211" ht="12.75" customHeight="1">
      <c r="A211" s="2"/>
      <c r="B211" s="2"/>
      <c r="C211" s="2"/>
      <c r="E211" s="2"/>
      <c r="F211" s="2"/>
      <c r="G211" s="2"/>
      <c r="I211" s="2"/>
      <c r="L211" s="2"/>
      <c r="M211" s="2"/>
    </row>
    <row r="212" ht="12.75" customHeight="1">
      <c r="A212" s="2"/>
      <c r="B212" s="2"/>
      <c r="C212" s="2"/>
      <c r="E212" s="2"/>
      <c r="F212" s="2"/>
      <c r="G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2.75" customHeight="1">
      <c r="A214" s="2"/>
      <c r="B214" s="2"/>
      <c r="C214" s="2"/>
      <c r="E214" s="2"/>
      <c r="F214" s="2"/>
      <c r="G214" s="2"/>
    </row>
    <row r="215" ht="12.75" customHeight="1">
      <c r="A215" s="2"/>
      <c r="B215" s="2"/>
      <c r="C215" s="2"/>
      <c r="E215" s="2"/>
      <c r="F215" s="2"/>
      <c r="G215" s="2"/>
      <c r="I215" s="2"/>
      <c r="L215" s="2"/>
      <c r="M215" s="2"/>
    </row>
    <row r="216" ht="12.75" customHeight="1">
      <c r="A216" s="2"/>
      <c r="B216" s="2"/>
      <c r="C216" s="2"/>
      <c r="E216" s="2"/>
      <c r="F216" s="2"/>
      <c r="G216" s="2"/>
      <c r="I216" s="2"/>
      <c r="L216" s="2"/>
      <c r="M216" s="2"/>
    </row>
    <row r="217" ht="12.75" customHeight="1">
      <c r="A217" s="2"/>
      <c r="B217" s="2"/>
      <c r="C217" s="2"/>
      <c r="E217" s="2"/>
      <c r="F217" s="2"/>
      <c r="G217" s="2"/>
      <c r="L217" s="2"/>
      <c r="M217" s="2"/>
    </row>
    <row r="218" ht="12.75" customHeight="1">
      <c r="A218" s="2"/>
      <c r="B218" s="2"/>
      <c r="C218" s="2"/>
      <c r="E218" s="2"/>
      <c r="F218" s="2"/>
      <c r="G218" s="2"/>
      <c r="I218" s="2"/>
      <c r="J218" s="2"/>
      <c r="L218" s="2"/>
      <c r="M218" s="2"/>
    </row>
    <row r="219" ht="12.75" customHeight="1">
      <c r="A219" s="2"/>
      <c r="B219" s="2"/>
      <c r="C219" s="2"/>
      <c r="E219" s="2"/>
      <c r="F219" s="2"/>
      <c r="G219" s="2"/>
      <c r="I219" s="2"/>
    </row>
    <row r="220" ht="12.75" customHeight="1">
      <c r="A220" s="2"/>
      <c r="B220" s="2"/>
      <c r="C220" s="2"/>
      <c r="E220" s="2"/>
      <c r="F220" s="2"/>
      <c r="G220" s="2"/>
    </row>
    <row r="221" ht="12.75" customHeight="1">
      <c r="A221" s="2"/>
      <c r="B221" s="2"/>
      <c r="C221" s="2"/>
      <c r="E221" s="2"/>
      <c r="F221" s="2"/>
      <c r="G221" s="2"/>
      <c r="I221" s="2"/>
      <c r="L221" s="2"/>
      <c r="M221" s="2"/>
    </row>
    <row r="222" ht="12.75" customHeight="1">
      <c r="A222" s="2"/>
      <c r="B222" s="2"/>
      <c r="C222" s="2"/>
      <c r="E222" s="2"/>
      <c r="F222" s="2"/>
      <c r="G222" s="2"/>
      <c r="I222" s="2"/>
      <c r="L222" s="2"/>
      <c r="M222" s="10"/>
    </row>
    <row r="223" ht="12.75" customHeight="1">
      <c r="A223" s="2"/>
      <c r="B223" s="2"/>
      <c r="C223" s="2"/>
      <c r="E223" s="2"/>
      <c r="F223" s="2"/>
      <c r="G223" s="2"/>
      <c r="I223" s="2"/>
      <c r="L223" s="2"/>
      <c r="M223" s="2"/>
    </row>
    <row r="224" ht="12.75" customHeight="1">
      <c r="A224" s="2"/>
      <c r="B224" s="2"/>
      <c r="C224" s="2"/>
      <c r="E224" s="2"/>
      <c r="F224" s="2"/>
      <c r="G224" s="2"/>
      <c r="I224" s="2"/>
      <c r="L224" s="2"/>
      <c r="M224" s="2"/>
    </row>
    <row r="225" ht="12.75" customHeight="1">
      <c r="A225" s="2"/>
      <c r="B225" s="2"/>
      <c r="C225" s="2"/>
      <c r="E225" s="2"/>
      <c r="F225" s="2"/>
      <c r="G225" s="2"/>
      <c r="L225" s="2"/>
      <c r="M225" s="2"/>
    </row>
    <row r="226" ht="12.75" customHeight="1">
      <c r="A226" s="2"/>
      <c r="B226" s="2"/>
      <c r="C226" s="2"/>
      <c r="E226" s="2"/>
      <c r="F226" s="2"/>
      <c r="G226" s="2"/>
      <c r="I226" s="2"/>
      <c r="L226" s="2"/>
      <c r="M226" s="2"/>
    </row>
    <row r="227" ht="12.75" customHeight="1">
      <c r="A227" s="2"/>
      <c r="B227" s="2"/>
      <c r="C227" s="2"/>
      <c r="E227" s="2"/>
      <c r="F227" s="2"/>
      <c r="G227" s="2"/>
      <c r="L227" s="2"/>
      <c r="M227" s="2"/>
    </row>
    <row r="228" ht="12.75" customHeight="1">
      <c r="A228" s="2"/>
      <c r="B228" s="2"/>
      <c r="C228" s="2"/>
      <c r="E228" s="2"/>
      <c r="F228" s="2"/>
      <c r="G228" s="2"/>
      <c r="L228" s="2"/>
      <c r="M228" s="2"/>
    </row>
    <row r="229" ht="12.75" customHeight="1">
      <c r="A229" s="2"/>
      <c r="B229" s="2"/>
      <c r="C229" s="2"/>
      <c r="E229" s="2"/>
      <c r="F229" s="2"/>
      <c r="G229" s="2"/>
      <c r="I229" s="2"/>
    </row>
    <row r="230" ht="12.75" customHeight="1">
      <c r="A230" s="2"/>
      <c r="B230" s="2"/>
      <c r="C230" s="2"/>
      <c r="E230" s="2"/>
      <c r="F230" s="2"/>
      <c r="G230" s="2"/>
      <c r="L230" s="2"/>
      <c r="M230" s="2"/>
    </row>
    <row r="231" ht="12.75" customHeight="1">
      <c r="A231" s="2"/>
      <c r="B231" s="2"/>
      <c r="C231" s="2"/>
      <c r="E231" s="2"/>
      <c r="F231" s="2"/>
      <c r="G231" s="2"/>
      <c r="I231" s="2"/>
      <c r="J231" s="2"/>
      <c r="L231" s="2"/>
      <c r="M231" s="2"/>
    </row>
    <row r="232" ht="12.75" customHeight="1">
      <c r="A232" s="2"/>
      <c r="B232" s="2"/>
      <c r="C232" s="2"/>
      <c r="E232" s="2"/>
      <c r="F232" s="2"/>
      <c r="G232" s="2"/>
      <c r="I232" s="2"/>
      <c r="J232" s="2"/>
      <c r="L232" s="2"/>
      <c r="M232" s="10"/>
    </row>
    <row r="233" ht="12.75" customHeight="1">
      <c r="A233" s="2"/>
      <c r="B233" s="2"/>
      <c r="C233" s="2"/>
      <c r="E233" s="2"/>
      <c r="F233" s="2"/>
      <c r="G233" s="2"/>
      <c r="L233" s="2"/>
      <c r="M233" s="2"/>
    </row>
    <row r="234" ht="12.75" customHeight="1">
      <c r="A234" s="2"/>
      <c r="B234" s="2"/>
      <c r="C234" s="2"/>
      <c r="E234" s="2"/>
      <c r="F234" s="2"/>
      <c r="G234" s="2"/>
      <c r="I234" s="2"/>
    </row>
    <row r="235" ht="12.75" customHeight="1">
      <c r="A235" s="2"/>
      <c r="B235" s="2"/>
      <c r="C235" s="2"/>
      <c r="E235" s="2"/>
      <c r="F235" s="2"/>
      <c r="G235" s="2"/>
      <c r="L235" s="2"/>
      <c r="M235" s="2"/>
    </row>
    <row r="236" ht="12.75" customHeight="1">
      <c r="A236" s="2"/>
      <c r="B236" s="2"/>
      <c r="C236" s="2"/>
      <c r="E236" s="2"/>
      <c r="F236" s="2"/>
      <c r="G236" s="2"/>
      <c r="I236" s="2"/>
    </row>
    <row r="237" ht="12.75" customHeight="1">
      <c r="A237" s="2"/>
      <c r="B237" s="2"/>
      <c r="C237" s="2"/>
      <c r="E237" s="2"/>
      <c r="F237" s="2"/>
      <c r="G237" s="2"/>
      <c r="I237" s="2"/>
      <c r="L237" s="2"/>
      <c r="M237" s="2"/>
    </row>
    <row r="238" ht="12.75" customHeight="1">
      <c r="A238" s="2"/>
      <c r="B238" s="2"/>
      <c r="C238" s="2"/>
      <c r="E238" s="2"/>
      <c r="F238" s="2"/>
      <c r="G238" s="2"/>
      <c r="L238" s="2"/>
      <c r="M238" s="2"/>
    </row>
    <row r="239" ht="12.75" customHeight="1">
      <c r="A239" s="2"/>
      <c r="B239" s="2"/>
      <c r="C239" s="2"/>
      <c r="E239" s="2"/>
      <c r="F239" s="2"/>
      <c r="G239" s="2"/>
      <c r="L239" s="2"/>
      <c r="M239" s="10"/>
    </row>
    <row r="240" ht="12.75" customHeight="1">
      <c r="A240" s="2"/>
      <c r="B240" s="2"/>
      <c r="C240" s="2"/>
      <c r="E240" s="2"/>
      <c r="F240" s="2"/>
      <c r="G240" s="2"/>
      <c r="I240" s="2"/>
      <c r="J240" s="2"/>
    </row>
    <row r="241" ht="12.75" customHeight="1">
      <c r="A241" s="2"/>
      <c r="B241" s="2"/>
      <c r="C241" s="2"/>
      <c r="E241" s="2"/>
      <c r="F241" s="2"/>
      <c r="G241" s="2"/>
      <c r="I241" s="2"/>
    </row>
    <row r="242" ht="12.75" customHeight="1">
      <c r="A242" s="2"/>
      <c r="B242" s="2"/>
      <c r="C242" s="2"/>
      <c r="E242" s="2"/>
      <c r="F242" s="2"/>
      <c r="G242" s="2"/>
      <c r="L242" s="2"/>
      <c r="M242" s="2"/>
    </row>
    <row r="243" ht="12.75" customHeight="1">
      <c r="A243" s="2"/>
      <c r="B243" s="2"/>
      <c r="C243" s="2"/>
      <c r="E243" s="2"/>
      <c r="F243" s="2"/>
      <c r="G243" s="2"/>
      <c r="L243" s="2"/>
      <c r="M243" s="2"/>
    </row>
    <row r="244" ht="12.75" customHeight="1">
      <c r="A244" s="2"/>
      <c r="B244" s="2"/>
      <c r="C244" s="2"/>
      <c r="E244" s="2"/>
      <c r="F244" s="2"/>
      <c r="G244" s="2"/>
      <c r="I244" s="2"/>
    </row>
    <row r="245" ht="12.75" customHeight="1">
      <c r="A245" s="2"/>
      <c r="B245" s="2"/>
      <c r="C245" s="2"/>
      <c r="E245" s="2"/>
      <c r="F245" s="2"/>
      <c r="G245" s="2"/>
      <c r="I245" s="2"/>
      <c r="L245" s="2"/>
      <c r="M245" s="2"/>
    </row>
    <row r="246" ht="12.75" customHeight="1">
      <c r="A246" s="2"/>
      <c r="B246" s="2"/>
      <c r="C246" s="2"/>
      <c r="E246" s="2"/>
      <c r="F246" s="2"/>
      <c r="G246" s="2"/>
      <c r="I246" s="2"/>
      <c r="L246" s="2"/>
      <c r="M246" s="2"/>
    </row>
    <row r="247" ht="12.75" customHeight="1">
      <c r="A247" s="2"/>
      <c r="B247" s="2"/>
      <c r="C247" s="2"/>
      <c r="E247" s="2"/>
      <c r="F247" s="2"/>
      <c r="G247" s="2"/>
      <c r="I247" s="2"/>
      <c r="L247" s="2"/>
      <c r="M247" s="2"/>
    </row>
    <row r="248" ht="12.75" customHeight="1">
      <c r="A248" s="2"/>
      <c r="B248" s="2"/>
      <c r="C248" s="2"/>
      <c r="E248" s="2"/>
      <c r="F248" s="2"/>
      <c r="G248" s="2"/>
      <c r="I248" s="2"/>
      <c r="L248" s="2"/>
      <c r="M248" s="2"/>
    </row>
    <row r="249" ht="12.75" customHeight="1">
      <c r="A249" s="2"/>
      <c r="B249" s="2"/>
      <c r="C249" s="2"/>
      <c r="E249" s="2"/>
      <c r="F249" s="2"/>
      <c r="G249" s="2"/>
      <c r="L249" s="2"/>
      <c r="M249" s="2"/>
    </row>
    <row r="250" ht="12.75" customHeight="1">
      <c r="A250" s="2"/>
      <c r="B250" s="2"/>
      <c r="C250" s="2"/>
      <c r="E250" s="2"/>
      <c r="F250" s="2"/>
      <c r="G250" s="2"/>
      <c r="I250" s="2"/>
      <c r="L250" s="2"/>
      <c r="M250" s="2"/>
    </row>
    <row r="251" ht="12.75" customHeight="1">
      <c r="A251" s="2"/>
      <c r="B251" s="2"/>
      <c r="C251" s="2"/>
      <c r="E251" s="2"/>
      <c r="F251" s="2"/>
      <c r="G251" s="2"/>
      <c r="I251" s="2"/>
      <c r="L251" s="2"/>
      <c r="M251" s="10"/>
    </row>
    <row r="252" ht="12.75" customHeight="1">
      <c r="A252" s="2"/>
      <c r="B252" s="2"/>
      <c r="C252" s="2"/>
      <c r="E252" s="2"/>
      <c r="F252" s="2"/>
      <c r="G252" s="2"/>
      <c r="I252" s="2"/>
      <c r="L252" s="2"/>
      <c r="M252" s="2"/>
    </row>
    <row r="253" ht="12.75" customHeight="1">
      <c r="A253" s="2"/>
      <c r="B253" s="2"/>
      <c r="C253" s="2"/>
      <c r="E253" s="2"/>
      <c r="F253" s="2"/>
      <c r="G253" s="2"/>
      <c r="L253" s="2"/>
      <c r="M253" s="2"/>
    </row>
    <row r="254" ht="12.75" customHeight="1">
      <c r="A254" s="2"/>
      <c r="B254" s="2"/>
      <c r="C254" s="2"/>
      <c r="E254" s="2"/>
      <c r="F254" s="2"/>
      <c r="G254" s="2"/>
      <c r="I254" s="2"/>
      <c r="L254" s="2"/>
      <c r="M254" s="2"/>
    </row>
    <row r="255" ht="12.75" customHeight="1">
      <c r="A255" s="2"/>
      <c r="B255" s="2"/>
      <c r="C255" s="2"/>
      <c r="E255" s="2"/>
      <c r="F255" s="2"/>
      <c r="G255" s="2"/>
      <c r="M255" s="2"/>
    </row>
    <row r="256" ht="12.75" customHeight="1">
      <c r="A256" s="2"/>
      <c r="B256" s="2"/>
      <c r="C256" s="2"/>
      <c r="E256" s="2"/>
      <c r="F256" s="2"/>
      <c r="G256" s="2"/>
      <c r="I256" s="2"/>
      <c r="L256" s="2"/>
      <c r="M256" s="2"/>
    </row>
    <row r="257" ht="12.75" customHeight="1">
      <c r="A257" s="2"/>
      <c r="B257" s="2"/>
      <c r="C257" s="2"/>
      <c r="E257" s="2"/>
      <c r="F257" s="2"/>
      <c r="G257" s="2"/>
      <c r="L257" s="2"/>
      <c r="M257" s="2"/>
    </row>
    <row r="258" ht="12.75" customHeight="1">
      <c r="A258" s="2"/>
      <c r="B258" s="2"/>
      <c r="C258" s="2"/>
      <c r="E258" s="2"/>
      <c r="F258" s="2"/>
      <c r="G258" s="2"/>
      <c r="I258" s="2"/>
      <c r="M258" s="10"/>
    </row>
    <row r="259" ht="12.75" customHeight="1">
      <c r="A259" s="2"/>
      <c r="B259" s="2"/>
      <c r="C259" s="2"/>
      <c r="E259" s="2"/>
      <c r="F259" s="2"/>
      <c r="G259" s="2"/>
      <c r="M259" s="10"/>
    </row>
    <row r="260" ht="12.75" customHeight="1">
      <c r="A260" s="2"/>
      <c r="B260" s="2"/>
      <c r="C260" s="2"/>
      <c r="E260" s="2"/>
      <c r="F260" s="2"/>
      <c r="G260" s="2"/>
      <c r="I260" s="2"/>
      <c r="L260" s="2"/>
      <c r="M260" s="2"/>
    </row>
    <row r="261" ht="12.75" customHeight="1">
      <c r="A261" s="2"/>
      <c r="B261" s="2"/>
      <c r="C261" s="2"/>
      <c r="E261" s="2"/>
      <c r="F261" s="2"/>
      <c r="G261" s="2"/>
    </row>
    <row r="262" ht="12.75" customHeight="1">
      <c r="A262" s="2"/>
      <c r="B262" s="2"/>
      <c r="C262" s="2"/>
      <c r="E262" s="2"/>
      <c r="F262" s="2"/>
      <c r="G262" s="2"/>
      <c r="I262" s="2"/>
      <c r="L262" s="2"/>
      <c r="M262" s="22"/>
    </row>
    <row r="263" ht="12.75" customHeight="1">
      <c r="A263" s="2"/>
      <c r="B263" s="2"/>
      <c r="C263" s="2"/>
      <c r="E263" s="2"/>
      <c r="F263" s="2"/>
      <c r="G263" s="2"/>
    </row>
    <row r="264" ht="12.75" customHeight="1">
      <c r="A264" s="2"/>
      <c r="B264" s="2"/>
      <c r="C264" s="2"/>
      <c r="E264" s="2"/>
      <c r="F264" s="2"/>
      <c r="G264" s="2"/>
      <c r="I264" s="2"/>
    </row>
    <row r="265" ht="12.75" customHeight="1">
      <c r="A265" s="2"/>
      <c r="B265" s="2"/>
      <c r="C265" s="2"/>
      <c r="E265" s="2"/>
      <c r="F265" s="2"/>
      <c r="G265" s="2"/>
      <c r="L265" s="2"/>
      <c r="M265" s="2"/>
    </row>
    <row r="266" ht="12.75" customHeight="1">
      <c r="A266" s="2"/>
      <c r="B266" s="2"/>
      <c r="C266" s="2"/>
      <c r="E266" s="2"/>
      <c r="F266" s="2"/>
      <c r="G266" s="2"/>
      <c r="L266" s="2"/>
      <c r="M266" s="2"/>
    </row>
    <row r="267" ht="12.75" customHeight="1">
      <c r="A267" s="2"/>
      <c r="B267" s="2"/>
      <c r="C267" s="2"/>
      <c r="E267" s="2"/>
      <c r="F267" s="2"/>
      <c r="G267" s="2"/>
      <c r="I267" s="2"/>
      <c r="L267" s="2"/>
      <c r="M267" s="2"/>
    </row>
    <row r="268" ht="12.75" customHeight="1">
      <c r="A268" s="2"/>
      <c r="B268" s="2"/>
      <c r="C268" s="2"/>
      <c r="E268" s="2"/>
      <c r="F268" s="2"/>
      <c r="G268" s="2"/>
      <c r="L268" s="2"/>
      <c r="M268" s="2"/>
    </row>
    <row r="269" ht="12.75" customHeight="1">
      <c r="A269" s="2"/>
      <c r="B269" s="2"/>
      <c r="C269" s="2"/>
      <c r="E269" s="2"/>
      <c r="F269" s="2"/>
      <c r="G269" s="2"/>
      <c r="I269" s="2"/>
    </row>
    <row r="270" ht="12.75" customHeight="1">
      <c r="A270" s="2"/>
      <c r="B270" s="2"/>
      <c r="C270" s="2"/>
      <c r="E270" s="2"/>
      <c r="F270" s="2"/>
      <c r="G270" s="2"/>
    </row>
    <row r="271" ht="12.75" customHeight="1">
      <c r="A271" s="2"/>
      <c r="B271" s="2"/>
      <c r="C271" s="2"/>
      <c r="E271" s="2"/>
      <c r="F271" s="2"/>
      <c r="G271" s="2"/>
      <c r="L271" s="2"/>
      <c r="M271" s="2"/>
    </row>
    <row r="272" ht="12.75" customHeight="1">
      <c r="A272" s="2"/>
      <c r="B272" s="2"/>
      <c r="C272" s="2"/>
      <c r="E272" s="2"/>
      <c r="F272" s="2"/>
      <c r="G272" s="2"/>
      <c r="M272" s="2"/>
    </row>
    <row r="273" ht="12.75" customHeight="1">
      <c r="A273" s="2"/>
      <c r="B273" s="2"/>
      <c r="C273" s="2"/>
      <c r="E273" s="2"/>
      <c r="F273" s="2"/>
      <c r="G273" s="2"/>
      <c r="I273" s="2"/>
      <c r="L273" s="2"/>
      <c r="M273" s="2"/>
    </row>
    <row r="274" ht="12.75" customHeight="1">
      <c r="A274" s="2"/>
      <c r="B274" s="2"/>
      <c r="C274" s="2"/>
      <c r="E274" s="2"/>
      <c r="F274" s="2"/>
      <c r="G274" s="2"/>
      <c r="L274" s="2"/>
      <c r="M274" s="2"/>
    </row>
    <row r="275" ht="12.75" customHeight="1">
      <c r="A275" s="2"/>
      <c r="B275" s="2"/>
      <c r="C275" s="2"/>
      <c r="E275" s="2"/>
      <c r="F275" s="2"/>
      <c r="G275" s="2"/>
      <c r="I275" s="2"/>
      <c r="M275" s="2"/>
    </row>
    <row r="276" ht="12.75" customHeight="1">
      <c r="A276" s="2"/>
      <c r="B276" s="2"/>
      <c r="C276" s="2"/>
      <c r="E276" s="2"/>
      <c r="F276" s="2"/>
      <c r="G276" s="2"/>
      <c r="L276" s="2"/>
      <c r="M276" s="2"/>
    </row>
    <row r="277" ht="12.75" customHeight="1">
      <c r="A277" s="2"/>
      <c r="B277" s="2"/>
      <c r="C277" s="2"/>
      <c r="E277" s="2"/>
      <c r="F277" s="2"/>
      <c r="G277" s="2"/>
      <c r="I277" s="2"/>
      <c r="M277" s="2"/>
    </row>
    <row r="278" ht="12.75" customHeight="1">
      <c r="A278" s="2"/>
      <c r="B278" s="2"/>
      <c r="C278" s="2"/>
      <c r="E278" s="2"/>
      <c r="F278" s="2"/>
      <c r="G278" s="2"/>
      <c r="I278" s="2"/>
      <c r="J278" s="2"/>
      <c r="L278" s="2"/>
      <c r="M278" s="2"/>
    </row>
    <row r="279" ht="12.75" customHeight="1">
      <c r="A279" s="2"/>
      <c r="B279" s="2"/>
      <c r="C279" s="2"/>
      <c r="E279" s="2"/>
      <c r="F279" s="2"/>
      <c r="G279" s="2"/>
      <c r="I279" s="2"/>
    </row>
    <row r="280" ht="12.75" customHeight="1">
      <c r="A280" s="2"/>
      <c r="B280" s="2"/>
      <c r="C280" s="2"/>
      <c r="E280" s="2"/>
      <c r="F280" s="2"/>
      <c r="G280" s="2"/>
      <c r="L280" s="2"/>
      <c r="M280" s="2"/>
    </row>
    <row r="281" ht="12.75" customHeight="1">
      <c r="A281" s="2"/>
      <c r="B281" s="2"/>
      <c r="C281" s="2"/>
      <c r="E281" s="2"/>
      <c r="F281" s="2"/>
      <c r="G281" s="2"/>
      <c r="I281" s="2"/>
    </row>
    <row r="282" ht="12.75" customHeight="1">
      <c r="A282" s="2"/>
      <c r="B282" s="2"/>
      <c r="C282" s="2"/>
      <c r="E282" s="2"/>
      <c r="F282" s="2"/>
      <c r="G282" s="2"/>
      <c r="L282" s="2"/>
      <c r="M282" s="2"/>
    </row>
    <row r="283" ht="12.75" customHeight="1">
      <c r="A283" s="2"/>
      <c r="B283" s="2"/>
      <c r="C283" s="2"/>
      <c r="E283" s="2"/>
      <c r="F283" s="2"/>
      <c r="G283" s="2"/>
      <c r="I283" s="2"/>
      <c r="L283" s="2"/>
      <c r="M283" s="2"/>
    </row>
    <row r="284" ht="12.75" customHeight="1">
      <c r="A284" s="2"/>
      <c r="B284" s="2"/>
      <c r="C284" s="2"/>
      <c r="E284" s="2"/>
      <c r="F284" s="2"/>
      <c r="G284" s="2"/>
      <c r="L284" s="2"/>
      <c r="M284" s="2"/>
    </row>
    <row r="285" ht="12.75" customHeight="1">
      <c r="A285" s="2"/>
      <c r="B285" s="2"/>
      <c r="C285" s="2"/>
      <c r="E285" s="2"/>
      <c r="F285" s="2"/>
      <c r="G285" s="2"/>
      <c r="I285" s="2"/>
      <c r="L285" s="2"/>
      <c r="M285" s="2"/>
    </row>
    <row r="286" ht="12.75" customHeight="1">
      <c r="A286" s="2"/>
      <c r="B286" s="2"/>
      <c r="C286" s="2"/>
      <c r="E286" s="2"/>
      <c r="F286" s="2"/>
      <c r="G286" s="2"/>
      <c r="I286" s="2"/>
    </row>
    <row r="287" ht="12.75" customHeight="1">
      <c r="A287" s="2"/>
      <c r="B287" s="2"/>
      <c r="C287" s="2"/>
      <c r="E287" s="2"/>
      <c r="F287" s="2"/>
      <c r="G287" s="2"/>
      <c r="I287" s="2"/>
      <c r="L287" s="2"/>
      <c r="M287" s="2"/>
    </row>
    <row r="288" ht="12.75" customHeight="1">
      <c r="A288" s="2"/>
      <c r="B288" s="2"/>
      <c r="C288" s="2"/>
      <c r="E288" s="2"/>
      <c r="F288" s="2"/>
      <c r="G288" s="2"/>
      <c r="I288" s="2"/>
      <c r="J288" s="2"/>
      <c r="L288" s="2"/>
      <c r="M288" s="2"/>
    </row>
    <row r="289" ht="12.75" customHeight="1">
      <c r="A289" s="2"/>
      <c r="B289" s="2"/>
      <c r="C289" s="2"/>
      <c r="E289" s="2"/>
      <c r="F289" s="2"/>
      <c r="I289" s="2"/>
    </row>
    <row r="290" ht="12.75" customHeight="1">
      <c r="A290" s="2"/>
      <c r="B290" s="2"/>
      <c r="C290" s="2"/>
      <c r="E290" s="2"/>
      <c r="F290" s="2"/>
      <c r="G290" s="2"/>
      <c r="I290" s="2"/>
      <c r="J290" s="2"/>
      <c r="L290" s="2"/>
      <c r="M290" s="2"/>
    </row>
    <row r="291" ht="12.75" customHeight="1">
      <c r="A291" s="2"/>
      <c r="B291" s="2"/>
      <c r="C291" s="2"/>
      <c r="E291" s="2"/>
      <c r="F291" s="2"/>
      <c r="G291" s="2"/>
      <c r="I291" s="2"/>
      <c r="L291" s="2"/>
      <c r="M291" s="26"/>
    </row>
    <row r="292" ht="12.75" customHeight="1">
      <c r="A292" s="2"/>
      <c r="B292" s="2"/>
      <c r="C292" s="2"/>
      <c r="E292" s="2"/>
      <c r="F292" s="2"/>
      <c r="G292" s="2"/>
      <c r="I292" s="2"/>
      <c r="L292" s="2"/>
      <c r="M292" s="2"/>
    </row>
    <row r="293" ht="12.75" customHeight="1">
      <c r="A293" s="2"/>
      <c r="B293" s="2"/>
      <c r="C293" s="2"/>
      <c r="E293" s="2"/>
      <c r="F293" s="2"/>
      <c r="G293" s="2"/>
      <c r="M293" s="2"/>
    </row>
    <row r="294" ht="12.75" customHeight="1">
      <c r="A294" s="2"/>
      <c r="B294" s="2"/>
      <c r="C294" s="2"/>
      <c r="E294" s="2"/>
      <c r="F294" s="2"/>
      <c r="G294" s="2"/>
      <c r="I294" s="2"/>
      <c r="L294" s="2"/>
      <c r="M294" s="2"/>
    </row>
    <row r="295" ht="12.75" customHeight="1">
      <c r="A295" s="2"/>
      <c r="B295" s="2"/>
      <c r="C295" s="2"/>
      <c r="E295" s="2"/>
      <c r="F295" s="2"/>
      <c r="I295" s="2"/>
    </row>
    <row r="296" ht="12.75" customHeight="1">
      <c r="A296" s="2"/>
      <c r="B296" s="2"/>
      <c r="C296" s="2"/>
      <c r="E296" s="2"/>
      <c r="F296" s="2"/>
      <c r="G296" s="2"/>
      <c r="I296" s="2"/>
      <c r="M296" s="2"/>
    </row>
    <row r="297" ht="12.75" customHeight="1">
      <c r="A297" s="2"/>
      <c r="B297" s="2"/>
      <c r="C297" s="2"/>
      <c r="E297" s="2"/>
      <c r="F297" s="2"/>
      <c r="G297" s="2"/>
      <c r="I297" s="2"/>
      <c r="L297" s="2"/>
      <c r="M297" s="2"/>
    </row>
    <row r="298" ht="12.75" customHeight="1">
      <c r="A298" s="2"/>
      <c r="B298" s="2"/>
      <c r="C298" s="2"/>
      <c r="E298" s="2"/>
      <c r="F298" s="2"/>
      <c r="G298" s="2"/>
      <c r="L298" s="2"/>
      <c r="M298" s="2"/>
    </row>
    <row r="299" ht="12.75" customHeight="1">
      <c r="A299" s="2"/>
      <c r="B299" s="2"/>
      <c r="C299" s="2"/>
      <c r="E299" s="2"/>
      <c r="F299" s="2"/>
      <c r="G299" s="2"/>
      <c r="I299" s="2"/>
      <c r="L299" s="2"/>
      <c r="M299" s="2"/>
    </row>
    <row r="300" ht="12.75" customHeight="1">
      <c r="A300" s="2"/>
      <c r="B300" s="2"/>
      <c r="C300" s="2"/>
      <c r="E300" s="2"/>
      <c r="F300" s="2"/>
      <c r="G300" s="2"/>
      <c r="M300" s="2"/>
    </row>
    <row r="301" ht="12.75" customHeight="1">
      <c r="A301" s="2"/>
      <c r="B301" s="2"/>
      <c r="C301" s="2"/>
      <c r="E301" s="2"/>
      <c r="F301" s="2"/>
      <c r="G301" s="2"/>
      <c r="I301" s="2"/>
      <c r="M301" s="2"/>
    </row>
    <row r="302" ht="12.75" customHeight="1">
      <c r="A302" s="2"/>
      <c r="B302" s="2"/>
      <c r="C302" s="2"/>
      <c r="E302" s="2"/>
      <c r="F302" s="2"/>
      <c r="G302" s="2"/>
      <c r="I302" s="2"/>
      <c r="J302" s="2"/>
      <c r="M302" s="2"/>
    </row>
    <row r="303" ht="12.75" customHeight="1">
      <c r="A303" s="2"/>
      <c r="B303" s="2"/>
      <c r="C303" s="2"/>
      <c r="E303" s="2"/>
      <c r="F303" s="2"/>
      <c r="G303" s="2"/>
      <c r="I303" s="2"/>
    </row>
    <row r="304" ht="12.75" customHeight="1">
      <c r="A304" s="2"/>
      <c r="B304" s="2"/>
      <c r="C304" s="2"/>
      <c r="E304" s="2"/>
      <c r="F304" s="2"/>
      <c r="G304" s="2"/>
      <c r="I304" s="2"/>
      <c r="L304" s="2"/>
      <c r="M304" s="2"/>
    </row>
    <row r="305" ht="12.75" customHeight="1">
      <c r="A305" s="2"/>
      <c r="B305" s="2"/>
      <c r="C305" s="2"/>
      <c r="E305" s="2"/>
      <c r="F305" s="2"/>
      <c r="G305" s="2"/>
      <c r="L305" s="2"/>
      <c r="M305" s="2"/>
    </row>
    <row r="306" ht="12.75" customHeight="1">
      <c r="A306" s="2"/>
      <c r="B306" s="2"/>
      <c r="C306" s="2"/>
      <c r="E306" s="2"/>
      <c r="F306" s="2"/>
      <c r="G306" s="2"/>
      <c r="I306" s="2"/>
      <c r="M306" s="26"/>
    </row>
    <row r="307" ht="12.75" customHeight="1">
      <c r="A307" s="2"/>
      <c r="B307" s="2"/>
      <c r="C307" s="2"/>
      <c r="E307" s="2"/>
      <c r="F307" s="2"/>
      <c r="G307" s="2"/>
      <c r="I307" s="2"/>
      <c r="J307" s="2"/>
      <c r="M307" s="2"/>
    </row>
    <row r="308" ht="12.75" customHeight="1">
      <c r="A308" s="2"/>
      <c r="B308" s="2"/>
      <c r="C308" s="2"/>
      <c r="E308" s="2"/>
      <c r="F308" s="2"/>
      <c r="G308" s="2"/>
      <c r="I308" s="2"/>
      <c r="M308" s="2"/>
    </row>
    <row r="309" ht="12.75" customHeight="1">
      <c r="A309" s="2"/>
      <c r="B309" s="2"/>
      <c r="C309" s="2"/>
      <c r="E309" s="2"/>
      <c r="F309" s="2"/>
      <c r="G309" s="2"/>
      <c r="I309" s="2"/>
      <c r="M309" s="2"/>
    </row>
    <row r="310" ht="12.75" customHeight="1">
      <c r="A310" s="2"/>
      <c r="B310" s="2"/>
      <c r="C310" s="2"/>
      <c r="E310" s="2"/>
      <c r="F310" s="2"/>
      <c r="G310" s="2"/>
      <c r="I310" s="2"/>
    </row>
    <row r="311" ht="12.75" customHeight="1">
      <c r="A311" s="2"/>
      <c r="B311" s="2"/>
      <c r="C311" s="2"/>
      <c r="E311" s="2"/>
      <c r="F311" s="2"/>
      <c r="G311" s="2"/>
      <c r="I311" s="2"/>
      <c r="M311" s="2"/>
    </row>
    <row r="312" ht="12.75" customHeight="1">
      <c r="A312" s="2"/>
      <c r="B312" s="2"/>
      <c r="C312" s="2"/>
      <c r="E312" s="2"/>
      <c r="F312" s="2"/>
      <c r="G312" s="2"/>
      <c r="I312" s="2"/>
      <c r="M312" s="2"/>
    </row>
    <row r="313" ht="12.75" customHeight="1">
      <c r="A313" s="2"/>
      <c r="B313" s="2"/>
      <c r="C313" s="2"/>
      <c r="E313" s="2"/>
      <c r="F313" s="2"/>
      <c r="G313" s="2"/>
      <c r="I313" s="2"/>
      <c r="M313" s="2"/>
    </row>
    <row r="314" ht="12.75" customHeight="1">
      <c r="A314" s="2"/>
      <c r="B314" s="2"/>
      <c r="C314" s="2"/>
      <c r="E314" s="2"/>
      <c r="F314" s="2"/>
      <c r="G314" s="2"/>
      <c r="I314" s="2"/>
      <c r="M314" s="2"/>
    </row>
    <row r="315" ht="12.75" customHeight="1">
      <c r="A315" s="2"/>
      <c r="B315" s="2"/>
      <c r="C315" s="2"/>
      <c r="E315" s="2"/>
      <c r="F315" s="2"/>
      <c r="G315" s="2"/>
      <c r="I315" s="2"/>
      <c r="M315" s="2"/>
    </row>
    <row r="316" ht="12.75" customHeight="1">
      <c r="A316" s="2"/>
      <c r="B316" s="2"/>
      <c r="C316" s="2"/>
      <c r="E316" s="2"/>
      <c r="F316" s="2"/>
      <c r="G316" s="2"/>
    </row>
    <row r="317" ht="12.75" customHeight="1">
      <c r="A317" s="2"/>
      <c r="B317" s="2"/>
      <c r="C317" s="2"/>
      <c r="E317" s="2"/>
      <c r="F317" s="2"/>
      <c r="G317" s="2"/>
      <c r="M317" s="2"/>
    </row>
    <row r="318" ht="12.75" customHeight="1">
      <c r="A318" s="2"/>
      <c r="B318" s="2"/>
      <c r="C318" s="2"/>
      <c r="E318" s="2"/>
      <c r="F318" s="2"/>
      <c r="G318" s="2"/>
      <c r="I318" s="2"/>
    </row>
    <row r="319" ht="12.75" customHeight="1">
      <c r="A319" s="2"/>
      <c r="B319" s="2"/>
      <c r="C319" s="2"/>
      <c r="E319" s="2"/>
      <c r="F319" s="2"/>
      <c r="G319" s="2"/>
      <c r="L319" s="2"/>
      <c r="M319" s="2"/>
    </row>
    <row r="320" ht="12.75" customHeight="1">
      <c r="A320" s="2"/>
      <c r="B320" s="2"/>
      <c r="C320" s="2"/>
      <c r="E320" s="2"/>
      <c r="F320" s="2"/>
      <c r="G320" s="2"/>
      <c r="L320" s="2"/>
      <c r="M320" s="2"/>
    </row>
    <row r="321" ht="12.75" customHeight="1">
      <c r="A321" s="2"/>
      <c r="B321" s="2"/>
      <c r="C321" s="2"/>
      <c r="E321" s="2"/>
      <c r="F321" s="2"/>
      <c r="G321" s="2"/>
    </row>
    <row r="322" ht="12.75" customHeight="1">
      <c r="A322" s="2"/>
      <c r="B322" s="2"/>
      <c r="C322" s="2"/>
      <c r="E322" s="2"/>
      <c r="F322" s="2"/>
      <c r="G322" s="2"/>
      <c r="I322" s="2"/>
      <c r="L322" s="2"/>
      <c r="M322" s="10"/>
    </row>
    <row r="323" ht="12.75" customHeight="1">
      <c r="A323" s="2"/>
      <c r="B323" s="2"/>
      <c r="C323" s="2"/>
      <c r="E323" s="2"/>
      <c r="F323" s="2"/>
      <c r="G323" s="2"/>
      <c r="I323" s="2"/>
      <c r="L323" s="2"/>
      <c r="M323" s="2"/>
    </row>
    <row r="324" ht="12.75" customHeight="1">
      <c r="A324" s="2"/>
      <c r="B324" s="2"/>
      <c r="C324" s="2"/>
      <c r="E324" s="2"/>
      <c r="F324" s="2"/>
      <c r="G324" s="2"/>
      <c r="I324" s="2"/>
      <c r="J324" s="2"/>
      <c r="L324" s="2"/>
      <c r="M324" s="10"/>
    </row>
    <row r="325" ht="12.75" customHeight="1">
      <c r="A325" s="2"/>
      <c r="B325" s="2"/>
      <c r="C325" s="2"/>
      <c r="E325" s="2"/>
      <c r="F325" s="2"/>
      <c r="G325" s="2"/>
      <c r="I325" s="2"/>
    </row>
    <row r="326" ht="12.75" customHeight="1">
      <c r="A326" s="2"/>
      <c r="B326" s="2"/>
      <c r="C326" s="2"/>
      <c r="E326" s="2"/>
      <c r="F326" s="2"/>
      <c r="G326" s="2"/>
      <c r="L326" s="2"/>
      <c r="M326" s="2"/>
    </row>
    <row r="327" ht="12.75" customHeight="1">
      <c r="A327" s="2"/>
      <c r="B327" s="2"/>
      <c r="C327" s="2"/>
      <c r="E327" s="2"/>
      <c r="F327" s="2"/>
      <c r="G327" s="2"/>
      <c r="I327" s="2"/>
      <c r="L327" s="2"/>
      <c r="M327" s="26"/>
    </row>
    <row r="328" ht="12.75" customHeight="1">
      <c r="A328" s="2"/>
      <c r="B328" s="2"/>
      <c r="C328" s="2"/>
      <c r="E328" s="2"/>
      <c r="F328" s="2"/>
      <c r="G328" s="2"/>
      <c r="I328" s="2"/>
      <c r="L328" s="2"/>
      <c r="M328" s="2"/>
    </row>
    <row r="329" ht="12.75" customHeight="1">
      <c r="A329" s="2"/>
      <c r="B329" s="2"/>
      <c r="C329" s="2"/>
      <c r="E329" s="2"/>
      <c r="F329" s="2"/>
      <c r="G329" s="2"/>
      <c r="M329" s="2"/>
    </row>
    <row r="330" ht="12.75" customHeight="1">
      <c r="A330" s="2"/>
      <c r="B330" s="2"/>
      <c r="C330" s="2"/>
      <c r="E330" s="2"/>
      <c r="F330" s="2"/>
      <c r="G330" s="2"/>
      <c r="I330" s="2"/>
    </row>
    <row r="331" ht="12.75" customHeight="1">
      <c r="A331" s="2"/>
      <c r="B331" s="2"/>
      <c r="C331" s="2"/>
      <c r="E331" s="2"/>
      <c r="F331" s="2"/>
      <c r="G331" s="2"/>
      <c r="I331" s="2"/>
    </row>
    <row r="332" ht="12.75" customHeight="1">
      <c r="A332" s="2"/>
      <c r="B332" s="2"/>
      <c r="C332" s="2"/>
      <c r="E332" s="2"/>
      <c r="F332" s="2"/>
      <c r="G332" s="2"/>
      <c r="M332" s="2"/>
    </row>
    <row r="333" ht="12.75" customHeight="1">
      <c r="A333" s="2"/>
      <c r="B333" s="2"/>
      <c r="C333" s="2"/>
      <c r="E333" s="2"/>
      <c r="F333" s="2"/>
      <c r="G333" s="2"/>
    </row>
    <row r="334" ht="12.75" customHeight="1">
      <c r="A334" s="2"/>
      <c r="B334" s="2"/>
      <c r="C334" s="2"/>
      <c r="E334" s="2"/>
      <c r="F334" s="2"/>
      <c r="G334" s="2"/>
      <c r="M334" s="2"/>
    </row>
    <row r="335" ht="12.75" customHeight="1">
      <c r="A335" s="2"/>
      <c r="B335" s="2"/>
      <c r="C335" s="2"/>
      <c r="E335" s="2"/>
      <c r="F335" s="2"/>
      <c r="G335" s="2"/>
      <c r="I335" s="2"/>
      <c r="M335" s="2"/>
    </row>
    <row r="336" ht="12.75" customHeight="1">
      <c r="A336" s="2"/>
      <c r="B336" s="2"/>
      <c r="C336" s="2"/>
      <c r="E336" s="2"/>
      <c r="F336" s="2"/>
      <c r="G336" s="2"/>
      <c r="I336" s="2"/>
    </row>
    <row r="337" ht="12.75" customHeight="1">
      <c r="A337" s="2"/>
      <c r="B337" s="2"/>
      <c r="C337" s="2"/>
      <c r="E337" s="2"/>
      <c r="F337" s="2"/>
      <c r="G337" s="2"/>
    </row>
    <row r="338" ht="12.75" customHeight="1">
      <c r="A338" s="2"/>
      <c r="B338" s="2"/>
      <c r="C338" s="2"/>
      <c r="E338" s="2"/>
      <c r="F338" s="2"/>
      <c r="G338" s="2"/>
      <c r="M338" s="2"/>
    </row>
    <row r="339" ht="12.75" customHeight="1">
      <c r="A339" s="2"/>
      <c r="B339" s="2"/>
      <c r="C339" s="2"/>
      <c r="E339" s="2"/>
      <c r="F339" s="2"/>
      <c r="G339" s="2"/>
      <c r="M339" s="2"/>
    </row>
    <row r="340" ht="12.75" customHeight="1">
      <c r="A340" s="2"/>
      <c r="B340" s="2"/>
      <c r="C340" s="2"/>
      <c r="E340" s="2"/>
      <c r="F340" s="2"/>
      <c r="G340" s="2"/>
      <c r="M340" s="2"/>
    </row>
    <row r="341" ht="12.75" customHeight="1">
      <c r="A341" s="2"/>
      <c r="B341" s="2"/>
      <c r="C341" s="2"/>
      <c r="E341" s="2"/>
      <c r="F341" s="2"/>
      <c r="G341" s="2"/>
    </row>
    <row r="342" ht="12.75" customHeight="1">
      <c r="A342" s="2"/>
      <c r="B342" s="2"/>
      <c r="C342" s="2"/>
      <c r="E342" s="2"/>
      <c r="F342" s="2"/>
      <c r="G342" s="2"/>
      <c r="I342" s="2"/>
    </row>
    <row r="343" ht="12.75" customHeight="1">
      <c r="A343" s="2"/>
      <c r="B343" s="2"/>
      <c r="C343" s="2"/>
      <c r="E343" s="2"/>
      <c r="F343" s="2"/>
      <c r="G343" s="2"/>
      <c r="M343" s="2"/>
    </row>
    <row r="344" ht="12.75" customHeight="1">
      <c r="A344" s="2"/>
      <c r="B344" s="2"/>
      <c r="C344" s="2"/>
      <c r="E344" s="2"/>
      <c r="F344" s="2"/>
      <c r="G344" s="2"/>
      <c r="I344" s="2"/>
      <c r="M344" s="2"/>
    </row>
    <row r="345" ht="12.75" customHeight="1">
      <c r="A345" s="2"/>
      <c r="B345" s="2"/>
      <c r="C345" s="2"/>
      <c r="E345" s="2"/>
      <c r="F345" s="2"/>
      <c r="G345" s="2"/>
      <c r="M345" s="2"/>
    </row>
    <row r="346" ht="12.75" customHeight="1">
      <c r="A346" s="2"/>
      <c r="B346" s="2"/>
      <c r="C346" s="2"/>
      <c r="E346" s="2"/>
      <c r="F346" s="2"/>
      <c r="G346" s="2"/>
      <c r="I346" s="2"/>
      <c r="M346" s="2"/>
    </row>
    <row r="347" ht="12.75" customHeight="1">
      <c r="A347" s="2"/>
      <c r="B347" s="2"/>
      <c r="C347" s="2"/>
      <c r="E347" s="2"/>
      <c r="F347" s="2"/>
      <c r="G347" s="2"/>
      <c r="I347" s="2"/>
      <c r="J347" s="2"/>
      <c r="M347" s="2"/>
    </row>
    <row r="348" ht="12.75" customHeight="1">
      <c r="A348" s="2"/>
      <c r="B348" s="2"/>
      <c r="C348" s="2"/>
      <c r="E348" s="2"/>
      <c r="F348" s="2"/>
      <c r="G348" s="2"/>
      <c r="I348" s="2"/>
    </row>
    <row r="349" ht="12.75" customHeight="1">
      <c r="A349" s="2"/>
      <c r="B349" s="2"/>
      <c r="C349" s="2"/>
      <c r="E349" s="2"/>
      <c r="F349" s="2"/>
      <c r="G349" s="2"/>
      <c r="I349" s="2"/>
      <c r="M349" s="2"/>
    </row>
    <row r="350" ht="12.75" customHeight="1">
      <c r="A350" s="2"/>
      <c r="B350" s="2"/>
      <c r="C350" s="2"/>
      <c r="E350" s="2"/>
      <c r="F350" s="2"/>
      <c r="G350" s="2"/>
      <c r="M350" s="2"/>
    </row>
    <row r="351" ht="12.75" customHeight="1">
      <c r="A351" s="2"/>
      <c r="B351" s="2"/>
      <c r="C351" s="2"/>
      <c r="E351" s="2"/>
      <c r="F351" s="2"/>
      <c r="G351" s="2"/>
      <c r="I351" s="2"/>
      <c r="M351" s="2"/>
    </row>
    <row r="352" ht="12.75" customHeight="1">
      <c r="A352" s="2"/>
      <c r="B352" s="2"/>
      <c r="C352" s="2"/>
      <c r="E352" s="2"/>
      <c r="F352" s="2"/>
      <c r="G352" s="2"/>
      <c r="I352" s="2"/>
      <c r="J352" s="2"/>
      <c r="M352" s="2"/>
    </row>
    <row r="353" ht="12.75" customHeight="1">
      <c r="A353" s="2"/>
      <c r="B353" s="2"/>
      <c r="C353" s="2"/>
      <c r="E353" s="2"/>
      <c r="F353" s="2"/>
      <c r="G353" s="2"/>
    </row>
    <row r="354" ht="12.75" customHeight="1">
      <c r="A354" s="2"/>
      <c r="B354" s="2"/>
      <c r="C354" s="2"/>
      <c r="E354" s="2"/>
      <c r="F354" s="2"/>
      <c r="G354" s="2"/>
      <c r="I354" s="2"/>
      <c r="J354" s="2"/>
      <c r="M354" s="2"/>
    </row>
    <row r="355" ht="12.75" customHeight="1">
      <c r="A355" s="2"/>
      <c r="B355" s="2"/>
      <c r="C355" s="2"/>
      <c r="E355" s="2"/>
      <c r="F355" s="2"/>
      <c r="G355" s="2"/>
    </row>
    <row r="356" ht="12.75" customHeight="1">
      <c r="A356" s="2"/>
      <c r="B356" s="2"/>
      <c r="C356" s="2"/>
      <c r="E356" s="2"/>
      <c r="F356" s="2"/>
      <c r="G356" s="2"/>
      <c r="I356" s="2"/>
    </row>
    <row r="357" ht="12.75" customHeight="1">
      <c r="A357" s="2"/>
      <c r="B357" s="2"/>
      <c r="C357" s="2"/>
      <c r="E357" s="2"/>
      <c r="F357" s="2"/>
      <c r="G357" s="2"/>
      <c r="M357" s="2"/>
    </row>
    <row r="358" ht="12.75" customHeight="1">
      <c r="A358" s="2"/>
      <c r="B358" s="2"/>
      <c r="C358" s="2"/>
      <c r="E358" s="2"/>
      <c r="F358" s="2"/>
      <c r="G358" s="2"/>
      <c r="M358" s="2"/>
    </row>
    <row r="359" ht="12.75" customHeight="1">
      <c r="A359" s="2"/>
      <c r="B359" s="2"/>
      <c r="C359" s="2"/>
      <c r="E359" s="2"/>
      <c r="F359" s="2"/>
      <c r="G359" s="2"/>
    </row>
    <row r="360" ht="12.75" customHeight="1">
      <c r="A360" s="2"/>
      <c r="B360" s="2"/>
      <c r="C360" s="2"/>
      <c r="E360" s="2"/>
      <c r="F360" s="2"/>
      <c r="G360" s="2"/>
      <c r="M360" s="2"/>
    </row>
    <row r="361" ht="12.75" customHeight="1">
      <c r="A361" s="2"/>
      <c r="B361" s="2"/>
      <c r="C361" s="2"/>
      <c r="E361" s="2"/>
      <c r="F361" s="2"/>
      <c r="G361" s="2"/>
    </row>
    <row r="362" ht="12.75" customHeight="1">
      <c r="A362" s="2"/>
      <c r="B362" s="2"/>
      <c r="C362" s="2"/>
      <c r="E362" s="2"/>
      <c r="F362" s="2"/>
      <c r="G362" s="2"/>
      <c r="I362" s="2"/>
    </row>
    <row r="363" ht="12.75" customHeight="1">
      <c r="A363" s="2"/>
      <c r="B363" s="2"/>
      <c r="C363" s="2"/>
      <c r="E363" s="2"/>
      <c r="F363" s="2"/>
      <c r="G363" s="2"/>
      <c r="I363" s="2"/>
      <c r="M363" s="2"/>
    </row>
    <row r="364" ht="12.75" customHeight="1">
      <c r="A364" s="2"/>
      <c r="B364" s="2"/>
      <c r="C364" s="2"/>
      <c r="E364" s="2"/>
      <c r="F364" s="2"/>
      <c r="G364" s="2"/>
      <c r="I364" s="2"/>
      <c r="J364" s="2"/>
      <c r="M364" s="2"/>
    </row>
    <row r="365" ht="12.75" customHeight="1">
      <c r="A365" s="2"/>
      <c r="B365" s="2"/>
      <c r="C365" s="2"/>
      <c r="E365" s="2"/>
      <c r="F365" s="2"/>
      <c r="G365" s="2"/>
      <c r="I365" s="2"/>
      <c r="J365" s="2"/>
    </row>
    <row r="366" ht="12.75" customHeight="1">
      <c r="A366" s="2"/>
      <c r="B366" s="2"/>
      <c r="C366" s="2"/>
      <c r="E366" s="2"/>
      <c r="F366" s="2"/>
      <c r="G366" s="2"/>
      <c r="I366" s="2"/>
      <c r="M366" s="2"/>
    </row>
    <row r="367" ht="12.75" customHeight="1">
      <c r="A367" s="2"/>
      <c r="B367" s="2"/>
      <c r="C367" s="2"/>
      <c r="E367" s="2"/>
      <c r="F367" s="2"/>
      <c r="G367" s="2"/>
      <c r="M367" s="2"/>
    </row>
    <row r="368" ht="12.75" customHeight="1">
      <c r="A368" s="2"/>
      <c r="B368" s="2"/>
      <c r="C368" s="2"/>
      <c r="E368" s="2"/>
      <c r="F368" s="2"/>
      <c r="G368" s="2"/>
    </row>
    <row r="369" ht="12.75" customHeight="1">
      <c r="A369" s="2"/>
      <c r="B369" s="2"/>
      <c r="C369" s="2"/>
      <c r="E369" s="2"/>
      <c r="F369" s="2"/>
      <c r="G369" s="2"/>
      <c r="I369" s="2"/>
      <c r="M369" s="2"/>
    </row>
    <row r="370" ht="12.75" customHeight="1">
      <c r="A370" s="2"/>
      <c r="B370" s="2"/>
      <c r="C370" s="2"/>
      <c r="E370" s="2"/>
      <c r="F370" s="2"/>
      <c r="G370" s="2"/>
      <c r="I370" s="2"/>
      <c r="J370" s="2"/>
      <c r="M370" s="2"/>
    </row>
    <row r="371" ht="12.75" customHeight="1">
      <c r="A371" s="2"/>
      <c r="B371" s="2"/>
      <c r="C371" s="2"/>
      <c r="E371" s="2"/>
      <c r="F371" s="2"/>
      <c r="G371" s="2"/>
      <c r="I371" s="2"/>
      <c r="M371" s="2"/>
    </row>
    <row r="372" ht="12.75" customHeight="1">
      <c r="A372" s="2"/>
      <c r="B372" s="2"/>
      <c r="C372" s="2"/>
      <c r="E372" s="2"/>
      <c r="F372" s="2"/>
      <c r="G372" s="2"/>
      <c r="M372" s="2"/>
    </row>
    <row r="373" ht="12.75" customHeight="1">
      <c r="A373" s="2"/>
      <c r="B373" s="2"/>
      <c r="C373" s="2"/>
      <c r="E373" s="2"/>
      <c r="F373" s="2"/>
      <c r="G373" s="2"/>
      <c r="M373" s="2"/>
    </row>
    <row r="374" ht="12.75" customHeight="1">
      <c r="A374" s="2"/>
      <c r="B374" s="2"/>
      <c r="C374" s="2"/>
      <c r="E374" s="2"/>
      <c r="F374" s="2"/>
      <c r="G374" s="2"/>
      <c r="M374" s="2"/>
    </row>
    <row r="375" ht="12.75" customHeight="1">
      <c r="A375" s="2"/>
      <c r="B375" s="2"/>
      <c r="C375" s="2"/>
      <c r="E375" s="2"/>
      <c r="F375" s="2"/>
      <c r="G375" s="2"/>
      <c r="M375" s="10"/>
    </row>
    <row r="376" ht="12.75" customHeight="1">
      <c r="A376" s="2"/>
      <c r="B376" s="2"/>
      <c r="C376" s="2"/>
      <c r="E376" s="2"/>
      <c r="F376" s="2"/>
      <c r="G376" s="2"/>
      <c r="I376" s="2"/>
      <c r="M376" s="2"/>
    </row>
    <row r="377" ht="12.75" customHeight="1">
      <c r="A377" s="2"/>
      <c r="B377" s="2"/>
      <c r="C377" s="2"/>
      <c r="E377" s="2"/>
      <c r="F377" s="2"/>
      <c r="G377" s="2"/>
      <c r="I377" s="2"/>
      <c r="M377" s="2"/>
    </row>
    <row r="378" ht="12.75" customHeight="1">
      <c r="A378" s="2"/>
      <c r="B378" s="2"/>
      <c r="C378" s="2"/>
      <c r="E378" s="2"/>
      <c r="F378" s="2"/>
      <c r="G378" s="2"/>
    </row>
    <row r="379" ht="12.75" customHeight="1">
      <c r="A379" s="2"/>
      <c r="B379" s="2"/>
      <c r="C379" s="2"/>
      <c r="E379" s="2"/>
      <c r="F379" s="2"/>
      <c r="G379" s="2"/>
      <c r="M379" s="2"/>
    </row>
    <row r="380" ht="12.75" customHeight="1">
      <c r="A380" s="2"/>
      <c r="B380" s="2"/>
      <c r="C380" s="2"/>
      <c r="E380" s="2"/>
      <c r="F380" s="2"/>
      <c r="G380" s="2"/>
      <c r="I380" s="2"/>
      <c r="J380" s="2"/>
      <c r="M380" s="2"/>
    </row>
    <row r="381" ht="12.75" customHeight="1">
      <c r="A381" s="2"/>
      <c r="B381" s="2"/>
      <c r="C381" s="2"/>
      <c r="E381" s="2"/>
      <c r="F381" s="2"/>
      <c r="G381" s="2"/>
      <c r="M381" s="2"/>
    </row>
    <row r="382" ht="12.75" customHeight="1">
      <c r="A382" s="2"/>
      <c r="B382" s="2"/>
      <c r="C382" s="2"/>
      <c r="E382" s="2"/>
      <c r="F382" s="2"/>
      <c r="G382" s="2"/>
      <c r="I382" s="2"/>
    </row>
    <row r="383" ht="12.75" customHeight="1">
      <c r="A383" s="2"/>
      <c r="B383" s="2"/>
      <c r="C383" s="2"/>
      <c r="E383" s="2"/>
      <c r="F383" s="2"/>
      <c r="G383" s="2"/>
      <c r="I383" s="2"/>
    </row>
    <row r="384" ht="12.75" customHeight="1">
      <c r="A384" s="2"/>
      <c r="B384" s="2"/>
      <c r="C384" s="2"/>
      <c r="E384" s="2"/>
      <c r="F384" s="2"/>
      <c r="G384" s="2"/>
      <c r="I384" s="2"/>
    </row>
    <row r="385" ht="12.75" customHeight="1">
      <c r="A385" s="2"/>
      <c r="B385" s="2"/>
      <c r="C385" s="2"/>
      <c r="E385" s="2"/>
      <c r="F385" s="2"/>
      <c r="G385" s="2"/>
      <c r="I385" s="2"/>
    </row>
    <row r="386" ht="12.75" customHeight="1">
      <c r="A386" s="2"/>
      <c r="B386" s="2"/>
      <c r="C386" s="2"/>
      <c r="E386" s="2"/>
      <c r="F386" s="2"/>
      <c r="G386" s="2"/>
      <c r="I386" s="2"/>
      <c r="M386" s="2"/>
    </row>
    <row r="387" ht="12.75" customHeight="1">
      <c r="A387" s="2"/>
      <c r="B387" s="2"/>
      <c r="C387" s="2"/>
      <c r="E387" s="2"/>
      <c r="F387" s="2"/>
      <c r="G387" s="2"/>
      <c r="I387" s="2"/>
    </row>
    <row r="388" ht="12.75" customHeight="1">
      <c r="A388" s="2"/>
      <c r="B388" s="2"/>
      <c r="C388" s="2"/>
      <c r="E388" s="2"/>
      <c r="F388" s="2"/>
      <c r="G388" s="2"/>
      <c r="M388" s="2"/>
    </row>
    <row r="389" ht="12.75" customHeight="1">
      <c r="A389" s="2"/>
      <c r="B389" s="2"/>
      <c r="C389" s="2"/>
      <c r="E389" s="2"/>
      <c r="F389" s="2"/>
      <c r="G389" s="2"/>
      <c r="M389" s="2"/>
      <c r="N389" s="2"/>
    </row>
    <row r="390" ht="12.75" customHeight="1">
      <c r="A390" s="2"/>
      <c r="B390" s="2"/>
      <c r="C390" s="2"/>
      <c r="E390" s="2"/>
      <c r="F390" s="2"/>
      <c r="G390" s="2"/>
    </row>
    <row r="391" ht="12.75" customHeight="1">
      <c r="A391" s="2"/>
      <c r="B391" s="2"/>
      <c r="C391" s="2"/>
      <c r="E391" s="2"/>
      <c r="F391" s="2"/>
      <c r="G391" s="2"/>
      <c r="M391" s="2"/>
    </row>
    <row r="392" ht="12.75" customHeight="1">
      <c r="A392" s="2"/>
      <c r="B392" s="2"/>
      <c r="C392" s="2"/>
      <c r="E392" s="2"/>
      <c r="F392" s="2"/>
      <c r="G392" s="2"/>
      <c r="I392" s="2"/>
      <c r="M392" s="2"/>
    </row>
    <row r="393" ht="12.75" customHeight="1">
      <c r="A393" s="2"/>
      <c r="B393" s="2"/>
      <c r="C393" s="2"/>
      <c r="E393" s="2"/>
      <c r="F393" s="2"/>
      <c r="G393" s="2"/>
      <c r="I393" s="2"/>
      <c r="M393" s="2"/>
    </row>
    <row r="394" ht="12.75" customHeight="1">
      <c r="A394" s="2"/>
      <c r="B394" s="2"/>
      <c r="C394" s="2"/>
      <c r="E394" s="2"/>
      <c r="F394" s="2"/>
      <c r="G394" s="2"/>
      <c r="I394" s="2"/>
    </row>
    <row r="395" ht="12.75" customHeight="1">
      <c r="A395" s="2"/>
      <c r="B395" s="2"/>
      <c r="C395" s="2"/>
      <c r="E395" s="2"/>
      <c r="F395" s="2"/>
      <c r="G395" s="2"/>
      <c r="I395" s="2"/>
    </row>
    <row r="396" ht="12.75" customHeight="1">
      <c r="A396" s="2"/>
      <c r="B396" s="2"/>
      <c r="C396" s="2"/>
      <c r="E396" s="2"/>
      <c r="F396" s="2"/>
      <c r="G396" s="2"/>
      <c r="M396" s="2"/>
    </row>
    <row r="397" ht="12.75" customHeight="1">
      <c r="A397" s="2"/>
      <c r="B397" s="2"/>
      <c r="C397" s="2"/>
      <c r="E397" s="2"/>
      <c r="F397" s="2"/>
      <c r="G397" s="2"/>
    </row>
    <row r="398" ht="12.75" customHeight="1">
      <c r="A398" s="2"/>
      <c r="B398" s="2"/>
      <c r="C398" s="2"/>
      <c r="E398" s="2"/>
      <c r="F398" s="2"/>
      <c r="G398" s="2"/>
      <c r="M398" s="2"/>
    </row>
    <row r="399" ht="12.75" customHeight="1">
      <c r="A399" s="2"/>
      <c r="B399" s="2"/>
      <c r="C399" s="2"/>
      <c r="E399" s="2"/>
      <c r="F399" s="2"/>
      <c r="G399" s="2"/>
      <c r="I399" s="2"/>
      <c r="M399" s="2"/>
    </row>
    <row r="400" ht="12.75" customHeight="1">
      <c r="A400" s="2"/>
      <c r="B400" s="2"/>
      <c r="C400" s="2"/>
      <c r="E400" s="2"/>
      <c r="F400" s="2"/>
      <c r="G400" s="2"/>
      <c r="I400" s="2"/>
      <c r="M400" s="2"/>
    </row>
    <row r="401" ht="12.75" customHeight="1">
      <c r="A401" s="2"/>
      <c r="B401" s="2"/>
      <c r="C401" s="2"/>
      <c r="E401" s="2"/>
      <c r="F401" s="2"/>
      <c r="G401" s="2"/>
      <c r="M401" s="2"/>
    </row>
    <row r="402" ht="12.75" customHeight="1">
      <c r="A402" s="2"/>
      <c r="B402" s="2"/>
      <c r="C402" s="2"/>
      <c r="E402" s="2"/>
      <c r="F402" s="2"/>
      <c r="G402" s="2"/>
      <c r="I402" s="2"/>
    </row>
    <row r="403" ht="12.75" customHeight="1">
      <c r="A403" s="2"/>
      <c r="B403" s="2"/>
      <c r="C403" s="2"/>
      <c r="E403" s="2"/>
      <c r="F403" s="2"/>
      <c r="G403" s="2"/>
      <c r="M403" s="2"/>
    </row>
    <row r="404" ht="12.75" customHeight="1">
      <c r="A404" s="2"/>
      <c r="B404" s="2"/>
      <c r="C404" s="2"/>
      <c r="E404" s="2"/>
      <c r="F404" s="2"/>
      <c r="G404" s="2"/>
    </row>
    <row r="405" ht="12.75" customHeight="1">
      <c r="A405" s="2"/>
      <c r="B405" s="2"/>
      <c r="C405" s="2"/>
      <c r="E405" s="2"/>
      <c r="F405" s="2"/>
      <c r="G405" s="2"/>
      <c r="M405" s="2"/>
    </row>
    <row r="406" ht="12.75" customHeight="1">
      <c r="A406" s="2"/>
      <c r="B406" s="2"/>
      <c r="C406" s="2"/>
      <c r="E406" s="2"/>
      <c r="F406" s="2"/>
      <c r="G406" s="2"/>
      <c r="M406" s="2"/>
    </row>
    <row r="407" ht="12.75" customHeight="1">
      <c r="A407" s="2"/>
      <c r="B407" s="2"/>
      <c r="C407" s="2"/>
      <c r="E407" s="2"/>
      <c r="F407" s="2"/>
      <c r="G407" s="2"/>
      <c r="I407" s="2"/>
    </row>
    <row r="408" ht="12.75" customHeight="1">
      <c r="A408" s="2"/>
      <c r="B408" s="2"/>
      <c r="C408" s="2"/>
      <c r="E408" s="2"/>
      <c r="F408" s="2"/>
      <c r="G408" s="2"/>
      <c r="M408" s="2"/>
    </row>
    <row r="409" ht="12.75" customHeight="1">
      <c r="A409" s="2"/>
      <c r="B409" s="2"/>
      <c r="C409" s="2"/>
      <c r="E409" s="2"/>
      <c r="F409" s="2"/>
      <c r="G409" s="2"/>
    </row>
    <row r="410" ht="12.75" customHeight="1">
      <c r="A410" s="2"/>
      <c r="B410" s="2"/>
      <c r="C410" s="2"/>
      <c r="E410" s="2"/>
      <c r="F410" s="2"/>
      <c r="G410" s="2"/>
      <c r="I410" s="2"/>
      <c r="M410" s="2"/>
    </row>
    <row r="411" ht="12.75" customHeight="1">
      <c r="A411" s="2"/>
      <c r="B411" s="2"/>
      <c r="C411" s="2"/>
      <c r="E411" s="2"/>
      <c r="F411" s="2"/>
      <c r="G411" s="2"/>
      <c r="M411" s="2"/>
    </row>
    <row r="412" ht="12.75" customHeight="1">
      <c r="A412" s="2"/>
      <c r="B412" s="2"/>
      <c r="C412" s="2"/>
      <c r="E412" s="2"/>
      <c r="F412" s="2"/>
      <c r="G412" s="2"/>
      <c r="I412" s="2"/>
      <c r="M412" s="2"/>
    </row>
    <row r="413" ht="12.75" customHeight="1">
      <c r="A413" s="2"/>
      <c r="B413" s="2"/>
      <c r="C413" s="2"/>
      <c r="E413" s="2"/>
      <c r="F413" s="2"/>
      <c r="G413" s="2"/>
      <c r="M413" s="2"/>
    </row>
    <row r="414" ht="12.75" customHeight="1">
      <c r="A414" s="2"/>
      <c r="B414" s="2"/>
      <c r="C414" s="2"/>
      <c r="E414" s="2"/>
      <c r="F414" s="2"/>
      <c r="G414" s="2"/>
      <c r="I414" s="2"/>
    </row>
    <row r="415" ht="12.75" customHeight="1">
      <c r="A415" s="2"/>
      <c r="B415" s="2"/>
      <c r="C415" s="2"/>
      <c r="E415" s="2"/>
      <c r="F415" s="2"/>
      <c r="G415" s="2"/>
      <c r="I415" s="2"/>
      <c r="J415" s="2"/>
    </row>
    <row r="416" ht="12.75" customHeight="1">
      <c r="A416" s="2"/>
      <c r="B416" s="2"/>
      <c r="C416" s="2"/>
      <c r="E416" s="2"/>
      <c r="F416" s="2"/>
      <c r="G416" s="2"/>
      <c r="I416" s="2"/>
    </row>
    <row r="417" ht="12.75" customHeight="1">
      <c r="A417" s="2"/>
      <c r="B417" s="2"/>
      <c r="C417" s="2"/>
      <c r="E417" s="2"/>
      <c r="F417" s="2"/>
      <c r="G417" s="2"/>
      <c r="I417" s="2"/>
    </row>
    <row r="418" ht="12.75" customHeight="1">
      <c r="A418" s="2"/>
      <c r="B418" s="2"/>
      <c r="C418" s="2"/>
      <c r="E418" s="2"/>
      <c r="F418" s="2"/>
      <c r="G418" s="2"/>
      <c r="M418" s="2"/>
    </row>
    <row r="419" ht="12.75" customHeight="1">
      <c r="A419" s="2"/>
      <c r="B419" s="2"/>
      <c r="C419" s="2"/>
      <c r="E419" s="2"/>
      <c r="F419" s="2"/>
      <c r="G419" s="2"/>
      <c r="M419" s="2"/>
    </row>
    <row r="420" ht="12.75" customHeight="1">
      <c r="A420" s="2"/>
      <c r="B420" s="2"/>
      <c r="C420" s="2"/>
      <c r="E420" s="2"/>
      <c r="F420" s="2"/>
      <c r="G420" s="2"/>
      <c r="I420" s="2"/>
      <c r="M420" s="2"/>
    </row>
    <row r="421" ht="12.75" customHeight="1">
      <c r="A421" s="2"/>
      <c r="B421" s="2"/>
      <c r="C421" s="2"/>
      <c r="E421" s="2"/>
      <c r="F421" s="2"/>
      <c r="G421" s="2"/>
      <c r="I421" s="2"/>
    </row>
    <row r="422" ht="12.75" customHeight="1">
      <c r="A422" s="2"/>
      <c r="B422" s="2"/>
      <c r="C422" s="2"/>
      <c r="E422" s="2"/>
      <c r="F422" s="2"/>
      <c r="G422" s="2"/>
    </row>
    <row r="423" ht="12.75" customHeight="1">
      <c r="A423" s="2"/>
      <c r="B423" s="2"/>
      <c r="C423" s="2"/>
      <c r="E423" s="2"/>
      <c r="F423" s="2"/>
      <c r="G423" s="2"/>
      <c r="I423" s="2"/>
      <c r="M423" s="2"/>
    </row>
    <row r="424" ht="12.75" customHeight="1">
      <c r="A424" s="2"/>
      <c r="B424" s="2"/>
      <c r="C424" s="2"/>
      <c r="E424" s="2"/>
      <c r="F424" s="2"/>
      <c r="G424" s="2"/>
      <c r="M424" s="10"/>
    </row>
    <row r="425" ht="12.75" customHeight="1">
      <c r="A425" s="2"/>
      <c r="B425" s="2"/>
      <c r="C425" s="2"/>
      <c r="E425" s="2"/>
      <c r="F425" s="2"/>
      <c r="G425" s="2"/>
      <c r="M425" s="2"/>
    </row>
    <row r="426" ht="12.75" customHeight="1">
      <c r="A426" s="2"/>
      <c r="B426" s="2"/>
      <c r="C426" s="2"/>
      <c r="E426" s="2"/>
      <c r="F426" s="2"/>
      <c r="G426" s="2"/>
    </row>
    <row r="427" ht="12.75" customHeight="1">
      <c r="A427" s="2"/>
      <c r="B427" s="2"/>
      <c r="C427" s="2"/>
      <c r="E427" s="2"/>
      <c r="F427" s="2"/>
      <c r="G427" s="2"/>
      <c r="M427" s="2"/>
    </row>
    <row r="428" ht="12.75" customHeight="1">
      <c r="A428" s="2"/>
      <c r="B428" s="2"/>
      <c r="C428" s="2"/>
      <c r="E428" s="2"/>
      <c r="F428" s="2"/>
      <c r="G428" s="2"/>
      <c r="I428" s="2"/>
    </row>
    <row r="429" ht="12.75" customHeight="1">
      <c r="A429" s="2"/>
      <c r="B429" s="2"/>
      <c r="C429" s="2"/>
      <c r="E429" s="2"/>
      <c r="F429" s="2"/>
      <c r="G429" s="2"/>
      <c r="I429" s="2"/>
      <c r="J429" s="2"/>
    </row>
    <row r="430" ht="12.75" customHeight="1">
      <c r="A430" s="2"/>
      <c r="B430" s="2"/>
      <c r="C430" s="2"/>
      <c r="E430" s="2"/>
      <c r="F430" s="2"/>
      <c r="G430" s="2"/>
      <c r="I430" s="2"/>
    </row>
    <row r="431" ht="12.75" customHeight="1">
      <c r="A431" s="2"/>
      <c r="B431" s="2"/>
      <c r="C431" s="2"/>
      <c r="E431" s="2"/>
      <c r="F431" s="2"/>
      <c r="G431" s="2"/>
      <c r="I431" s="2"/>
      <c r="M431" s="2"/>
    </row>
    <row r="432" ht="12.75" customHeight="1">
      <c r="A432" s="2"/>
      <c r="B432" s="2"/>
      <c r="C432" s="2"/>
      <c r="E432" s="2"/>
      <c r="F432" s="2"/>
      <c r="G432" s="2"/>
    </row>
    <row r="433" ht="12.75" customHeight="1">
      <c r="A433" s="2"/>
      <c r="B433" s="2"/>
      <c r="C433" s="2"/>
      <c r="E433" s="2"/>
      <c r="F433" s="2"/>
      <c r="G433" s="2"/>
      <c r="I433" s="2"/>
    </row>
    <row r="434" ht="12.75" customHeight="1">
      <c r="A434" s="2"/>
      <c r="B434" s="2"/>
      <c r="C434" s="2"/>
      <c r="E434" s="2"/>
      <c r="F434" s="2"/>
      <c r="G434" s="2"/>
      <c r="I434" s="2"/>
      <c r="M434" s="2"/>
    </row>
    <row r="435" ht="12.75" customHeight="1">
      <c r="A435" s="2"/>
      <c r="B435" s="2"/>
      <c r="C435" s="2"/>
      <c r="E435" s="2"/>
      <c r="F435" s="2"/>
      <c r="G435" s="2"/>
    </row>
    <row r="436" ht="12.75" customHeight="1">
      <c r="A436" s="2"/>
      <c r="B436" s="2"/>
      <c r="C436" s="2"/>
      <c r="E436" s="2"/>
      <c r="F436" s="2"/>
    </row>
    <row r="437" ht="12.75" customHeight="1">
      <c r="A437" s="2"/>
      <c r="B437" s="2"/>
      <c r="C437" s="2"/>
      <c r="E437" s="2"/>
      <c r="F437" s="2"/>
      <c r="G437" s="2"/>
      <c r="I437" s="2"/>
      <c r="M437" s="2"/>
    </row>
    <row r="438" ht="12.75" customHeight="1">
      <c r="A438" s="2"/>
      <c r="B438" s="2"/>
      <c r="C438" s="2"/>
      <c r="E438" s="2"/>
      <c r="F438" s="2"/>
      <c r="G438" s="2"/>
    </row>
    <row r="439" ht="12.75" customHeight="1">
      <c r="A439" s="2"/>
      <c r="B439" s="2"/>
      <c r="C439" s="2"/>
      <c r="E439" s="2"/>
      <c r="F439" s="2"/>
      <c r="G439" s="2"/>
      <c r="I439" s="2"/>
      <c r="M439" s="2"/>
    </row>
    <row r="440" ht="12.75" customHeight="1">
      <c r="A440" s="2"/>
      <c r="B440" s="2"/>
      <c r="C440" s="2"/>
      <c r="E440" s="2"/>
      <c r="F440" s="2"/>
      <c r="G440" s="2"/>
      <c r="M440" s="2"/>
    </row>
    <row r="441" ht="12.75" customHeight="1">
      <c r="A441" s="2"/>
      <c r="B441" s="2"/>
      <c r="C441" s="2"/>
      <c r="E441" s="2"/>
      <c r="F441" s="2"/>
      <c r="G441" s="2"/>
      <c r="M441" s="2"/>
    </row>
    <row r="442" ht="12.75" customHeight="1">
      <c r="A442" s="2"/>
      <c r="B442" s="2"/>
      <c r="C442" s="2"/>
      <c r="E442" s="2"/>
      <c r="F442" s="2"/>
      <c r="G442" s="2"/>
    </row>
    <row r="443" ht="12.75" customHeight="1">
      <c r="A443" s="2"/>
      <c r="B443" s="2"/>
      <c r="C443" s="2"/>
      <c r="E443" s="2"/>
      <c r="F443" s="2"/>
      <c r="G443" s="2"/>
      <c r="I443" s="2"/>
    </row>
    <row r="444" ht="12.75" customHeight="1">
      <c r="A444" s="2"/>
      <c r="B444" s="2"/>
      <c r="C444" s="2"/>
      <c r="E444" s="2"/>
      <c r="F444" s="2"/>
      <c r="G444" s="2"/>
      <c r="I444" s="2"/>
      <c r="M444" s="2"/>
    </row>
    <row r="445" ht="12.75" customHeight="1">
      <c r="A445" s="2"/>
      <c r="B445" s="2"/>
      <c r="C445" s="2"/>
      <c r="E445" s="2"/>
      <c r="F445" s="2"/>
      <c r="G445" s="2"/>
      <c r="I445" s="2"/>
      <c r="M445" s="10"/>
    </row>
    <row r="446" ht="12.75" customHeight="1">
      <c r="A446" s="2"/>
      <c r="B446" s="2"/>
      <c r="C446" s="2"/>
      <c r="E446" s="2"/>
      <c r="F446" s="2"/>
      <c r="G446" s="2"/>
      <c r="I446" s="2"/>
      <c r="M446" s="2"/>
    </row>
    <row r="447" ht="12.75" customHeight="1">
      <c r="A447" s="2"/>
      <c r="B447" s="2"/>
      <c r="C447" s="2"/>
      <c r="E447" s="2"/>
      <c r="F447" s="2"/>
      <c r="G447" s="2"/>
    </row>
    <row r="448" ht="12.75" customHeight="1">
      <c r="A448" s="2"/>
      <c r="B448" s="2"/>
      <c r="C448" s="2"/>
      <c r="E448" s="2"/>
      <c r="F448" s="2"/>
      <c r="G448" s="2"/>
    </row>
    <row r="449" ht="12.75" customHeight="1">
      <c r="A449" s="2"/>
      <c r="B449" s="2"/>
      <c r="C449" s="2"/>
      <c r="E449" s="2"/>
      <c r="F449" s="2"/>
      <c r="G449" s="2"/>
      <c r="I449" s="2"/>
      <c r="J449" s="2"/>
    </row>
    <row r="450" ht="12.75" customHeight="1">
      <c r="A450" s="2"/>
      <c r="B450" s="2"/>
      <c r="C450" s="2"/>
      <c r="E450" s="2"/>
      <c r="F450" s="2"/>
      <c r="G450" s="2"/>
      <c r="I450" s="2"/>
      <c r="M450" s="2"/>
    </row>
    <row r="451" ht="12.75" customHeight="1">
      <c r="A451" s="2"/>
      <c r="B451" s="2"/>
      <c r="C451" s="2"/>
      <c r="E451" s="2"/>
      <c r="F451" s="2"/>
      <c r="G451" s="2"/>
      <c r="M451" s="2"/>
    </row>
    <row r="452" ht="12.75" customHeight="1">
      <c r="A452" s="2"/>
      <c r="B452" s="2"/>
      <c r="C452" s="2"/>
      <c r="E452" s="2"/>
      <c r="F452" s="2"/>
      <c r="G452" s="2"/>
      <c r="H452" s="10"/>
      <c r="I452" s="2"/>
      <c r="J452" s="2"/>
      <c r="M452" s="2"/>
    </row>
    <row r="453" ht="12.75" customHeight="1">
      <c r="A453" s="2"/>
      <c r="B453" s="2"/>
      <c r="C453" s="2"/>
      <c r="E453" s="2"/>
      <c r="F453" s="2"/>
      <c r="G453" s="2"/>
      <c r="M453" s="2"/>
    </row>
    <row r="454" ht="12.75" customHeight="1">
      <c r="A454" s="2"/>
      <c r="B454" s="2"/>
      <c r="C454" s="2"/>
      <c r="E454" s="2"/>
      <c r="F454" s="2"/>
      <c r="G454" s="2"/>
      <c r="I454" s="2"/>
      <c r="M454" s="2"/>
    </row>
    <row r="455" ht="12.75" customHeight="1">
      <c r="A455" s="2"/>
      <c r="B455" s="2"/>
      <c r="C455" s="2"/>
      <c r="E455" s="2"/>
      <c r="F455" s="2"/>
      <c r="G455" s="2"/>
    </row>
    <row r="456" ht="12.75" customHeight="1">
      <c r="A456" s="2"/>
      <c r="B456" s="2"/>
      <c r="C456" s="2"/>
      <c r="E456" s="2"/>
      <c r="F456" s="2"/>
      <c r="G456" s="2"/>
      <c r="M456" s="2"/>
    </row>
    <row r="457" ht="12.75" customHeight="1">
      <c r="A457" s="2"/>
      <c r="B457" s="2"/>
      <c r="C457" s="2"/>
      <c r="E457" s="2"/>
      <c r="F457" s="2"/>
      <c r="G457" s="2"/>
      <c r="I457" s="2"/>
    </row>
    <row r="458" ht="12.75" customHeight="1">
      <c r="A458" s="2"/>
      <c r="B458" s="2"/>
      <c r="C458" s="2"/>
      <c r="E458" s="2"/>
      <c r="F458" s="2"/>
      <c r="G458" s="2"/>
      <c r="I458" s="2"/>
      <c r="M458" s="2"/>
    </row>
    <row r="459" ht="12.75" customHeight="1">
      <c r="A459" s="2"/>
      <c r="B459" s="2"/>
      <c r="C459" s="2"/>
      <c r="E459" s="2"/>
      <c r="F459" s="2"/>
      <c r="G459" s="2"/>
      <c r="I459" s="2"/>
      <c r="J459" s="2"/>
      <c r="M459" s="2"/>
    </row>
    <row r="460" ht="12.75" customHeight="1">
      <c r="A460" s="2"/>
      <c r="B460" s="2"/>
      <c r="C460" s="2"/>
      <c r="E460" s="2"/>
      <c r="F460" s="2"/>
      <c r="G460" s="2"/>
    </row>
    <row r="461" ht="12.75" customHeight="1">
      <c r="A461" s="2"/>
      <c r="B461" s="2"/>
      <c r="C461" s="2"/>
      <c r="E461" s="2"/>
      <c r="F461" s="2"/>
      <c r="G461" s="2"/>
      <c r="I461" s="2"/>
      <c r="M461" s="2"/>
    </row>
    <row r="462" ht="12.75" customHeight="1">
      <c r="A462" s="2"/>
      <c r="B462" s="2"/>
      <c r="C462" s="2"/>
      <c r="E462" s="2"/>
      <c r="F462" s="2"/>
      <c r="G462" s="2"/>
      <c r="M462" s="2"/>
    </row>
    <row r="463" ht="12.75" customHeight="1">
      <c r="A463" s="2"/>
      <c r="B463" s="2"/>
      <c r="C463" s="2"/>
      <c r="E463" s="2"/>
      <c r="F463" s="2"/>
      <c r="G463" s="2"/>
      <c r="M463" s="2"/>
    </row>
    <row r="464" ht="12.75" customHeight="1">
      <c r="A464" s="2"/>
      <c r="B464" s="2"/>
      <c r="C464" s="2"/>
      <c r="E464" s="2"/>
      <c r="F464" s="2"/>
      <c r="G464" s="2"/>
      <c r="M464" s="2"/>
    </row>
    <row r="465" ht="12.75" customHeight="1">
      <c r="A465" s="2"/>
      <c r="B465" s="2"/>
      <c r="C465" s="2"/>
      <c r="E465" s="2"/>
      <c r="F465" s="2"/>
      <c r="G465" s="2"/>
      <c r="M465" s="2"/>
    </row>
    <row r="466" ht="12.75" customHeight="1">
      <c r="A466" s="2"/>
      <c r="B466" s="2"/>
      <c r="C466" s="2"/>
      <c r="E466" s="2"/>
      <c r="F466" s="2"/>
      <c r="G466" s="2"/>
      <c r="M466" s="2"/>
    </row>
    <row r="467" ht="12.75" customHeight="1">
      <c r="A467" s="2"/>
      <c r="B467" s="2"/>
      <c r="C467" s="2"/>
      <c r="E467" s="2"/>
      <c r="F467" s="2"/>
      <c r="G467" s="2"/>
      <c r="I467" s="2"/>
      <c r="M467" s="2"/>
    </row>
    <row r="468" ht="12.75" customHeight="1">
      <c r="A468" s="2"/>
      <c r="B468" s="2"/>
      <c r="C468" s="2"/>
      <c r="E468" s="2"/>
      <c r="F468" s="2"/>
      <c r="G468" s="2"/>
      <c r="M468" s="2"/>
    </row>
    <row r="469" ht="12.75" customHeight="1">
      <c r="A469" s="2"/>
      <c r="B469" s="2"/>
      <c r="C469" s="2"/>
      <c r="E469" s="2"/>
      <c r="F469" s="2"/>
      <c r="G469" s="2"/>
    </row>
    <row r="470" ht="12.75" customHeight="1">
      <c r="A470" s="2"/>
      <c r="B470" s="2"/>
      <c r="C470" s="2"/>
      <c r="E470" s="2"/>
      <c r="F470" s="2"/>
      <c r="G470" s="2"/>
      <c r="M470" s="2"/>
    </row>
    <row r="471" ht="12.75" customHeight="1">
      <c r="A471" s="2"/>
      <c r="B471" s="2"/>
      <c r="C471" s="2"/>
      <c r="E471" s="2"/>
      <c r="F471" s="2"/>
      <c r="G471" s="2"/>
      <c r="I471" s="2"/>
    </row>
    <row r="472" ht="12.75" customHeight="1">
      <c r="A472" s="2"/>
      <c r="B472" s="2"/>
      <c r="C472" s="2"/>
      <c r="E472" s="2"/>
      <c r="F472" s="2"/>
      <c r="G472" s="2"/>
      <c r="I472" s="2"/>
      <c r="M472" s="2"/>
    </row>
    <row r="473" ht="12.75" customHeight="1">
      <c r="A473" s="2"/>
      <c r="B473" s="2"/>
      <c r="C473" s="2"/>
      <c r="E473" s="2"/>
      <c r="F473" s="2"/>
      <c r="G473" s="2"/>
      <c r="I473" s="2"/>
      <c r="M473" s="2"/>
    </row>
    <row r="474" ht="12.75" customHeight="1">
      <c r="A474" s="2"/>
      <c r="B474" s="2"/>
      <c r="C474" s="2"/>
      <c r="E474" s="2"/>
      <c r="F474" s="2"/>
      <c r="G474" s="2"/>
      <c r="I474" s="2"/>
      <c r="J474" s="2"/>
      <c r="M474" s="2"/>
    </row>
    <row r="475" ht="12.75" customHeight="1">
      <c r="A475" s="2"/>
      <c r="B475" s="2"/>
      <c r="C475" s="2"/>
      <c r="E475" s="2"/>
      <c r="F475" s="2"/>
      <c r="G475" s="2"/>
      <c r="I475" s="2"/>
    </row>
    <row r="476" ht="12.75" customHeight="1">
      <c r="A476" s="2"/>
      <c r="B476" s="2"/>
      <c r="C476" s="2"/>
      <c r="E476" s="2"/>
      <c r="F476" s="2"/>
      <c r="G476" s="2"/>
      <c r="M476" s="2"/>
    </row>
    <row r="477" ht="12.75" customHeight="1">
      <c r="A477" s="2"/>
      <c r="B477" s="2"/>
      <c r="C477" s="2"/>
      <c r="E477" s="2"/>
      <c r="F477" s="2"/>
      <c r="G477" s="2"/>
      <c r="I477" s="2"/>
    </row>
    <row r="478" ht="12.75" customHeight="1">
      <c r="A478" s="2"/>
      <c r="B478" s="2"/>
      <c r="C478" s="2"/>
      <c r="E478" s="2"/>
      <c r="F478" s="2"/>
      <c r="G478" s="2"/>
      <c r="M478" s="2"/>
    </row>
    <row r="479" ht="12.75" customHeight="1">
      <c r="A479" s="2"/>
      <c r="B479" s="2"/>
      <c r="C479" s="2"/>
      <c r="E479" s="2"/>
      <c r="F479" s="2"/>
      <c r="G479" s="2"/>
      <c r="I479" s="2"/>
    </row>
    <row r="480" ht="12.75" customHeight="1">
      <c r="A480" s="2"/>
      <c r="B480" s="2"/>
      <c r="C480" s="2"/>
      <c r="E480" s="2"/>
      <c r="F480" s="2"/>
      <c r="G480" s="2"/>
      <c r="I480" s="2"/>
      <c r="M480" s="2"/>
    </row>
    <row r="481" ht="12.75" customHeight="1">
      <c r="A481" s="2"/>
      <c r="B481" s="2"/>
      <c r="C481" s="2"/>
      <c r="E481" s="2"/>
      <c r="F481" s="2"/>
      <c r="G481" s="2"/>
      <c r="I481" s="2"/>
      <c r="J481" s="2"/>
    </row>
    <row r="482" ht="12.75" customHeight="1">
      <c r="A482" s="2"/>
      <c r="B482" s="2"/>
      <c r="C482" s="2"/>
      <c r="E482" s="2"/>
      <c r="F482" s="2"/>
      <c r="G482" s="2"/>
      <c r="I482" s="2"/>
      <c r="M482" s="2"/>
    </row>
    <row r="483" ht="12.75" customHeight="1">
      <c r="A483" s="2"/>
      <c r="B483" s="2"/>
      <c r="C483" s="2"/>
      <c r="E483" s="2"/>
      <c r="F483" s="2"/>
      <c r="G483" s="2"/>
      <c r="M483" s="2"/>
    </row>
    <row r="484" ht="12.75" customHeight="1">
      <c r="A484" s="2"/>
      <c r="B484" s="2"/>
      <c r="C484" s="2"/>
      <c r="E484" s="2"/>
      <c r="F484" s="2"/>
      <c r="G484" s="2"/>
      <c r="I484" s="2"/>
      <c r="M484" s="2"/>
    </row>
    <row r="485" ht="12.75" customHeight="1">
      <c r="A485" s="2"/>
      <c r="B485" s="2"/>
      <c r="C485" s="2"/>
      <c r="E485" s="2"/>
      <c r="F485" s="2"/>
      <c r="G485" s="2"/>
      <c r="I485" s="2"/>
      <c r="M485" s="2"/>
    </row>
    <row r="486" ht="12.75" customHeight="1">
      <c r="A486" s="2"/>
      <c r="B486" s="2"/>
      <c r="C486" s="2"/>
      <c r="E486" s="2"/>
      <c r="F486" s="2"/>
      <c r="G486" s="2"/>
      <c r="I486" s="2"/>
      <c r="M486" s="2"/>
    </row>
    <row r="487" ht="12.75" customHeight="1">
      <c r="A487" s="2"/>
      <c r="B487" s="2"/>
      <c r="C487" s="2"/>
      <c r="E487" s="2"/>
      <c r="F487" s="2"/>
      <c r="G487" s="2"/>
    </row>
    <row r="488" ht="12.75" customHeight="1">
      <c r="A488" s="2"/>
      <c r="B488" s="2"/>
      <c r="C488" s="2"/>
      <c r="E488" s="2"/>
      <c r="F488" s="2"/>
      <c r="G488" s="2"/>
      <c r="I488" s="2"/>
      <c r="M488" s="2"/>
    </row>
    <row r="489" ht="12.75" customHeight="1">
      <c r="A489" s="2"/>
      <c r="B489" s="2"/>
      <c r="C489" s="2"/>
      <c r="E489" s="2"/>
      <c r="F489" s="2"/>
      <c r="G489" s="2"/>
      <c r="I489" s="2"/>
    </row>
    <row r="490" ht="12.75" customHeight="1">
      <c r="A490" s="2"/>
      <c r="B490" s="2"/>
      <c r="C490" s="2"/>
      <c r="E490" s="2"/>
      <c r="F490" s="2"/>
      <c r="G490" s="2"/>
      <c r="M490" s="2"/>
    </row>
    <row r="491" ht="12.75" customHeight="1">
      <c r="A491" s="2"/>
      <c r="B491" s="2"/>
      <c r="C491" s="2"/>
      <c r="E491" s="2"/>
      <c r="F491" s="2"/>
      <c r="G491" s="2"/>
      <c r="I491" s="2"/>
      <c r="M491" s="2"/>
    </row>
    <row r="492" ht="12.75" customHeight="1">
      <c r="A492" s="2"/>
      <c r="B492" s="2"/>
      <c r="C492" s="2"/>
      <c r="E492" s="2"/>
      <c r="F492" s="2"/>
      <c r="G492" s="2"/>
      <c r="M492" s="2"/>
    </row>
    <row r="493" ht="12.75" customHeight="1">
      <c r="A493" s="2"/>
      <c r="B493" s="2"/>
      <c r="C493" s="2"/>
      <c r="E493" s="2"/>
      <c r="F493" s="2"/>
      <c r="G493" s="2"/>
      <c r="M493" s="2"/>
    </row>
    <row r="494" ht="12.75" customHeight="1">
      <c r="A494" s="2"/>
      <c r="B494" s="2"/>
      <c r="C494" s="2"/>
      <c r="E494" s="2"/>
      <c r="F494" s="2"/>
      <c r="G494" s="2"/>
      <c r="I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2.75" customHeight="1">
      <c r="A496" s="2"/>
      <c r="B496" s="2"/>
      <c r="C496" s="2"/>
      <c r="E496" s="2"/>
      <c r="F496" s="2"/>
      <c r="G496" s="2"/>
      <c r="I496" s="2"/>
      <c r="M496" s="2"/>
    </row>
    <row r="497" ht="12.75" customHeight="1">
      <c r="A497" s="2"/>
      <c r="B497" s="2"/>
      <c r="C497" s="2"/>
      <c r="E497" s="2"/>
      <c r="F497" s="2"/>
      <c r="G497" s="2"/>
      <c r="M497" s="2"/>
    </row>
    <row r="498" ht="12.75" customHeight="1">
      <c r="A498" s="2"/>
      <c r="B498" s="2"/>
      <c r="C498" s="2"/>
      <c r="E498" s="2"/>
      <c r="F498" s="2"/>
      <c r="G498" s="2"/>
      <c r="M498" s="2"/>
    </row>
    <row r="499" ht="12.75" customHeight="1">
      <c r="A499" s="2"/>
      <c r="B499" s="2"/>
      <c r="C499" s="2"/>
      <c r="E499" s="2"/>
      <c r="F499" s="2"/>
      <c r="G499" s="2"/>
      <c r="I499" s="2"/>
      <c r="M499" s="2"/>
    </row>
    <row r="500" ht="12.75" customHeight="1">
      <c r="A500" s="2"/>
      <c r="B500" s="2"/>
      <c r="C500" s="2"/>
      <c r="E500" s="2"/>
      <c r="F500" s="2"/>
      <c r="G500" s="2"/>
      <c r="I500" s="2"/>
      <c r="J500" s="2"/>
    </row>
    <row r="501" ht="12.75" customHeight="1">
      <c r="A501" s="2"/>
      <c r="B501" s="2"/>
      <c r="C501" s="2"/>
      <c r="E501" s="2"/>
      <c r="F501" s="2"/>
      <c r="G501" s="2"/>
      <c r="M501" s="10"/>
    </row>
    <row r="502" ht="12.75" customHeight="1">
      <c r="A502" s="2"/>
      <c r="B502" s="2"/>
      <c r="C502" s="2"/>
      <c r="E502" s="2"/>
      <c r="F502" s="2"/>
      <c r="G502" s="2"/>
      <c r="M502" s="2"/>
    </row>
    <row r="503" ht="12.75" customHeight="1">
      <c r="A503" s="2"/>
      <c r="B503" s="2"/>
      <c r="C503" s="2"/>
      <c r="E503" s="2"/>
      <c r="F503" s="2"/>
      <c r="G503" s="2"/>
      <c r="M503" s="2"/>
    </row>
    <row r="504" ht="12.75" customHeight="1">
      <c r="A504" s="2"/>
      <c r="B504" s="2"/>
      <c r="C504" s="2"/>
      <c r="E504" s="2"/>
      <c r="F504" s="2"/>
      <c r="G504" s="2"/>
      <c r="M504" s="10"/>
    </row>
    <row r="505" ht="12.75" customHeight="1">
      <c r="A505" s="2"/>
      <c r="B505" s="2"/>
      <c r="C505" s="2"/>
      <c r="E505" s="2"/>
      <c r="F505" s="2"/>
      <c r="G505" s="2"/>
      <c r="M505" s="2"/>
    </row>
    <row r="506" ht="12.75" customHeight="1">
      <c r="A506" s="2"/>
      <c r="B506" s="2"/>
      <c r="C506" s="2"/>
      <c r="E506" s="2"/>
      <c r="F506" s="2"/>
      <c r="G506" s="2"/>
    </row>
    <row r="507" ht="12.75" customHeight="1">
      <c r="A507" s="2"/>
      <c r="B507" s="2"/>
      <c r="C507" s="2"/>
      <c r="E507" s="2"/>
      <c r="F507" s="2"/>
      <c r="G507" s="2"/>
      <c r="I507" s="2"/>
      <c r="M507" s="2"/>
    </row>
    <row r="508" ht="12.75" customHeight="1">
      <c r="A508" s="2"/>
      <c r="B508" s="2"/>
      <c r="C508" s="2"/>
      <c r="E508" s="2"/>
      <c r="F508" s="2"/>
      <c r="G508" s="2"/>
      <c r="I508" s="2"/>
    </row>
    <row r="509" ht="12.75" customHeight="1">
      <c r="A509" s="2"/>
      <c r="B509" s="2"/>
      <c r="C509" s="2"/>
      <c r="E509" s="2"/>
      <c r="F509" s="2"/>
      <c r="G509" s="2"/>
      <c r="M509" s="2"/>
    </row>
    <row r="510" ht="12.75" customHeight="1">
      <c r="A510" s="2"/>
      <c r="B510" s="2"/>
      <c r="C510" s="2"/>
      <c r="E510" s="2"/>
      <c r="F510" s="2"/>
      <c r="G510" s="2"/>
      <c r="I510" s="2"/>
      <c r="J510" s="2"/>
      <c r="M510" s="2"/>
    </row>
    <row r="511" ht="12.75" customHeight="1">
      <c r="A511" s="2"/>
      <c r="B511" s="2"/>
      <c r="C511" s="2"/>
      <c r="E511" s="2"/>
      <c r="F511" s="2"/>
      <c r="G511" s="2"/>
    </row>
    <row r="512" ht="12.75" customHeight="1">
      <c r="A512" s="2"/>
      <c r="B512" s="2"/>
      <c r="C512" s="2"/>
      <c r="E512" s="2"/>
      <c r="F512" s="2"/>
      <c r="G512" s="2"/>
    </row>
    <row r="513" ht="12.75" customHeight="1">
      <c r="A513" s="2"/>
      <c r="B513" s="2"/>
      <c r="C513" s="2"/>
      <c r="E513" s="2"/>
      <c r="F513" s="2"/>
      <c r="G513" s="2"/>
      <c r="I513" s="2"/>
      <c r="M513" s="2"/>
      <c r="N513" s="2"/>
    </row>
    <row r="514" ht="12.75" customHeight="1">
      <c r="A514" s="2"/>
      <c r="B514" s="2"/>
      <c r="C514" s="2"/>
      <c r="E514" s="2"/>
      <c r="F514" s="2"/>
      <c r="G514" s="2"/>
      <c r="I514" s="2"/>
      <c r="M514" s="2"/>
      <c r="N514" s="2"/>
    </row>
    <row r="515" ht="12.75" customHeight="1">
      <c r="A515" s="2"/>
      <c r="B515" s="2"/>
      <c r="C515" s="2"/>
      <c r="E515" s="2"/>
      <c r="F515" s="2"/>
      <c r="G515" s="2"/>
      <c r="I515" s="2"/>
      <c r="M515" s="2"/>
    </row>
    <row r="516" ht="12.75" customHeight="1">
      <c r="A516" s="2"/>
      <c r="B516" s="2"/>
      <c r="C516" s="2"/>
      <c r="E516" s="2"/>
      <c r="F516" s="2"/>
      <c r="G516" s="2"/>
      <c r="M516" s="2"/>
    </row>
    <row r="517" ht="12.75" customHeight="1">
      <c r="A517" s="2"/>
      <c r="B517" s="2"/>
      <c r="C517" s="2"/>
      <c r="E517" s="2"/>
      <c r="F517" s="2"/>
      <c r="G517" s="2"/>
      <c r="I517" s="2"/>
    </row>
    <row r="518" ht="12.75" customHeight="1">
      <c r="A518" s="2"/>
      <c r="B518" s="2"/>
      <c r="C518" s="2"/>
      <c r="E518" s="2"/>
      <c r="F518" s="2"/>
      <c r="G518" s="2"/>
      <c r="M518" s="2"/>
    </row>
    <row r="519" ht="12.75" customHeight="1">
      <c r="A519" s="2"/>
      <c r="B519" s="2"/>
      <c r="C519" s="2"/>
      <c r="E519" s="2"/>
      <c r="F519" s="2"/>
      <c r="G519" s="2"/>
      <c r="M519" s="2"/>
    </row>
    <row r="520" ht="12.75" customHeight="1">
      <c r="A520" s="2"/>
      <c r="B520" s="2"/>
      <c r="C520" s="2"/>
      <c r="E520" s="2"/>
      <c r="F520" s="2"/>
      <c r="G520" s="2"/>
      <c r="I520" s="2"/>
      <c r="J520" s="2"/>
      <c r="M520" s="2"/>
    </row>
    <row r="521" ht="12.75" customHeight="1">
      <c r="A521" s="2"/>
      <c r="B521" s="2"/>
      <c r="C521" s="2"/>
      <c r="E521" s="2"/>
      <c r="F521" s="2"/>
      <c r="G521" s="2"/>
      <c r="I521" s="2"/>
    </row>
    <row r="522" ht="12.75" customHeight="1">
      <c r="A522" s="2"/>
      <c r="B522" s="2"/>
      <c r="C522" s="2"/>
      <c r="E522" s="2"/>
      <c r="F522" s="2"/>
      <c r="G522" s="2"/>
      <c r="M522" s="2"/>
    </row>
    <row r="523" ht="12.75" customHeight="1">
      <c r="A523" s="2"/>
      <c r="B523" s="2"/>
      <c r="C523" s="2"/>
      <c r="E523" s="2"/>
      <c r="F523" s="2"/>
      <c r="I523" s="2"/>
    </row>
    <row r="524" ht="12.75" customHeight="1">
      <c r="A524" s="2"/>
      <c r="B524" s="2"/>
      <c r="C524" s="2"/>
      <c r="E524" s="2"/>
      <c r="F524" s="2"/>
      <c r="G524" s="2"/>
      <c r="M524" s="25"/>
    </row>
    <row r="525" ht="12.75" customHeight="1">
      <c r="A525" s="2"/>
      <c r="B525" s="2"/>
      <c r="C525" s="2"/>
      <c r="E525" s="2"/>
      <c r="F525" s="2"/>
      <c r="G525" s="2"/>
      <c r="I525" s="2"/>
      <c r="M525" s="2"/>
    </row>
    <row r="526" ht="12.75" customHeight="1">
      <c r="A526" s="2"/>
      <c r="B526" s="2"/>
      <c r="C526" s="2"/>
      <c r="E526" s="2"/>
      <c r="F526" s="2"/>
      <c r="G526" s="2"/>
      <c r="I526" s="2"/>
    </row>
    <row r="527" ht="12.75" customHeight="1">
      <c r="A527" s="2"/>
      <c r="B527" s="2"/>
      <c r="C527" s="2"/>
      <c r="E527" s="2"/>
      <c r="F527" s="2"/>
      <c r="G527" s="2"/>
      <c r="M527" s="2"/>
    </row>
    <row r="528" ht="12.75" customHeight="1">
      <c r="A528" s="2"/>
      <c r="B528" s="2"/>
      <c r="C528" s="2"/>
      <c r="E528" s="2"/>
      <c r="F528" s="2"/>
      <c r="G528" s="2"/>
      <c r="I528" s="2"/>
      <c r="M528" s="25"/>
    </row>
    <row r="529" ht="12.75" customHeight="1">
      <c r="A529" s="2"/>
      <c r="B529" s="2"/>
      <c r="C529" s="2"/>
      <c r="E529" s="2"/>
      <c r="F529" s="2"/>
      <c r="G529" s="2"/>
    </row>
    <row r="530" ht="12.75" customHeight="1">
      <c r="A530" s="2"/>
      <c r="B530" s="2"/>
      <c r="C530" s="2"/>
      <c r="E530" s="2"/>
      <c r="F530" s="2"/>
      <c r="G530" s="2"/>
      <c r="M530" s="10"/>
    </row>
    <row r="531" ht="12.75" customHeight="1">
      <c r="A531" s="2"/>
      <c r="B531" s="2"/>
      <c r="C531" s="2"/>
      <c r="E531" s="2"/>
      <c r="F531" s="2"/>
      <c r="G531" s="2"/>
      <c r="I531" s="2"/>
    </row>
    <row r="532" ht="12.75" customHeight="1">
      <c r="A532" s="2"/>
      <c r="B532" s="2"/>
      <c r="C532" s="2"/>
      <c r="E532" s="2"/>
      <c r="F532" s="2"/>
      <c r="G532" s="2"/>
      <c r="I532" s="2"/>
      <c r="J532" s="2"/>
    </row>
    <row r="533" ht="12.75" customHeight="1">
      <c r="A533" s="2"/>
      <c r="B533" s="2"/>
      <c r="C533" s="2"/>
      <c r="E533" s="2"/>
      <c r="F533" s="2"/>
      <c r="G533" s="2"/>
      <c r="I533" s="2"/>
      <c r="M533" s="2"/>
    </row>
    <row r="534" ht="12.75" customHeight="1">
      <c r="A534" s="2"/>
      <c r="B534" s="2"/>
      <c r="C534" s="2"/>
      <c r="E534" s="2"/>
      <c r="F534" s="2"/>
      <c r="G534" s="2"/>
      <c r="I534" s="2"/>
      <c r="J534" s="2"/>
      <c r="M534" s="2"/>
    </row>
    <row r="535" ht="12.75" customHeight="1">
      <c r="A535" s="2"/>
      <c r="B535" s="2"/>
      <c r="C535" s="2"/>
      <c r="E535" s="2"/>
      <c r="F535" s="2"/>
      <c r="G535" s="2"/>
    </row>
    <row r="536" ht="12.75" customHeight="1">
      <c r="A536" s="2"/>
      <c r="B536" s="2"/>
      <c r="C536" s="2"/>
      <c r="E536" s="2"/>
      <c r="F536" s="2"/>
      <c r="G536" s="2"/>
    </row>
    <row r="537" ht="12.75" customHeight="1">
      <c r="A537" s="2"/>
      <c r="B537" s="2"/>
      <c r="C537" s="2"/>
      <c r="E537" s="2"/>
      <c r="F537" s="2"/>
      <c r="G537" s="2"/>
      <c r="I537" s="2"/>
      <c r="M537" s="2"/>
    </row>
    <row r="538" ht="12.75" customHeight="1">
      <c r="A538" s="2"/>
      <c r="B538" s="2"/>
      <c r="C538" s="2"/>
      <c r="E538" s="2"/>
      <c r="F538" s="2"/>
      <c r="G538" s="2"/>
    </row>
    <row r="539" ht="12.75" customHeight="1">
      <c r="A539" s="2"/>
      <c r="B539" s="2"/>
      <c r="C539" s="2"/>
      <c r="E539" s="2"/>
      <c r="F539" s="2"/>
      <c r="G539" s="2"/>
      <c r="I539" s="2"/>
      <c r="M539" s="2"/>
    </row>
    <row r="540" ht="12.75" customHeight="1">
      <c r="A540" s="2"/>
      <c r="B540" s="2"/>
      <c r="C540" s="2"/>
      <c r="E540" s="2"/>
      <c r="F540" s="2"/>
      <c r="G540" s="2"/>
      <c r="M540" s="2"/>
    </row>
    <row r="541" ht="12.75" customHeight="1">
      <c r="A541" s="2"/>
      <c r="B541" s="2"/>
      <c r="C541" s="2"/>
      <c r="E541" s="2"/>
      <c r="F541" s="2"/>
      <c r="G541" s="2"/>
      <c r="M541" s="2"/>
    </row>
    <row r="542" ht="12.75" customHeight="1">
      <c r="A542" s="2"/>
      <c r="B542" s="2"/>
      <c r="C542" s="2"/>
      <c r="E542" s="2"/>
      <c r="F542" s="2"/>
      <c r="I542" s="2"/>
    </row>
    <row r="543" ht="12.75" customHeight="1">
      <c r="A543" s="2"/>
      <c r="B543" s="2"/>
      <c r="C543" s="2"/>
      <c r="E543" s="2"/>
      <c r="F543" s="2"/>
      <c r="G543" s="2"/>
      <c r="I543" s="2"/>
    </row>
    <row r="544" ht="12.75" customHeight="1">
      <c r="A544" s="2"/>
      <c r="B544" s="2"/>
      <c r="C544" s="2"/>
      <c r="E544" s="2"/>
      <c r="F544" s="2"/>
      <c r="G544" s="2"/>
      <c r="I544" s="2"/>
      <c r="M544" s="2"/>
    </row>
    <row r="545" ht="12.75" customHeight="1">
      <c r="A545" s="2"/>
      <c r="B545" s="2"/>
      <c r="C545" s="2"/>
      <c r="E545" s="2"/>
      <c r="F545" s="2"/>
      <c r="G545" s="2"/>
      <c r="M545" s="2"/>
    </row>
    <row r="546" ht="12.75" customHeight="1">
      <c r="A546" s="2"/>
      <c r="B546" s="2"/>
      <c r="C546" s="2"/>
      <c r="E546" s="2"/>
      <c r="F546" s="2"/>
      <c r="G546" s="2"/>
      <c r="I546" s="2"/>
      <c r="M546" s="2"/>
    </row>
    <row r="547" ht="12.75" customHeight="1">
      <c r="A547" s="2"/>
      <c r="B547" s="2"/>
      <c r="C547" s="2"/>
      <c r="E547" s="2"/>
      <c r="F547" s="2"/>
      <c r="G547" s="2"/>
    </row>
    <row r="548" ht="12.75" customHeight="1">
      <c r="A548" s="2"/>
      <c r="B548" s="2"/>
      <c r="C548" s="2"/>
      <c r="E548" s="2"/>
      <c r="F548" s="2"/>
      <c r="G548" s="2"/>
    </row>
    <row r="549" ht="12.75" customHeight="1">
      <c r="A549" s="2"/>
      <c r="B549" s="2"/>
      <c r="C549" s="2"/>
      <c r="E549" s="2"/>
      <c r="F549" s="2"/>
      <c r="G549" s="2"/>
    </row>
    <row r="550" ht="12.75" customHeight="1">
      <c r="A550" s="2"/>
      <c r="B550" s="2"/>
      <c r="C550" s="2"/>
      <c r="E550" s="2"/>
      <c r="F550" s="2"/>
      <c r="G550" s="2"/>
      <c r="I550" s="2"/>
      <c r="M550" s="2"/>
    </row>
    <row r="551" ht="12.75" customHeight="1">
      <c r="A551" s="2"/>
      <c r="B551" s="2"/>
      <c r="C551" s="2"/>
      <c r="E551" s="2"/>
      <c r="F551" s="2"/>
      <c r="G551" s="2"/>
      <c r="I551" s="2"/>
      <c r="M551" s="2"/>
    </row>
    <row r="552" ht="12.75" customHeight="1">
      <c r="A552" s="2"/>
      <c r="B552" s="2"/>
      <c r="C552" s="2"/>
      <c r="E552" s="2"/>
      <c r="F552" s="2"/>
      <c r="G552" s="2"/>
      <c r="M552" s="10"/>
    </row>
    <row r="553" ht="12.75" customHeight="1">
      <c r="A553" s="2"/>
      <c r="B553" s="2"/>
      <c r="C553" s="2"/>
      <c r="E553" s="2"/>
      <c r="F553" s="2"/>
      <c r="G553" s="2"/>
      <c r="M553" s="2"/>
    </row>
    <row r="554" ht="12.75" customHeight="1">
      <c r="A554" s="2"/>
      <c r="B554" s="2"/>
      <c r="C554" s="2"/>
      <c r="E554" s="2"/>
      <c r="F554" s="2"/>
      <c r="G554" s="2"/>
    </row>
    <row r="555" ht="12.75" customHeight="1">
      <c r="A555" s="2"/>
      <c r="B555" s="2"/>
      <c r="C555" s="2"/>
      <c r="E555" s="2"/>
      <c r="F555" s="2"/>
      <c r="G555" s="2"/>
      <c r="I555" s="2"/>
    </row>
    <row r="556" ht="12.75" customHeight="1">
      <c r="A556" s="2"/>
      <c r="B556" s="2"/>
      <c r="C556" s="2"/>
      <c r="E556" s="2"/>
      <c r="F556" s="2"/>
      <c r="G556" s="2"/>
      <c r="I556" s="2"/>
      <c r="M556" s="2"/>
    </row>
    <row r="557" ht="12.75" customHeight="1">
      <c r="A557" s="2"/>
      <c r="B557" s="2"/>
      <c r="C557" s="2"/>
      <c r="E557" s="2"/>
      <c r="F557" s="2"/>
      <c r="G557" s="2"/>
      <c r="M557" s="2"/>
    </row>
    <row r="558" ht="12.75" customHeight="1">
      <c r="A558" s="2"/>
      <c r="B558" s="2"/>
      <c r="C558" s="2"/>
      <c r="E558" s="2"/>
      <c r="F558" s="2"/>
      <c r="G558" s="2"/>
      <c r="I558" s="2"/>
    </row>
    <row r="559" ht="12.75" customHeight="1">
      <c r="A559" s="2"/>
      <c r="B559" s="2"/>
      <c r="C559" s="2"/>
      <c r="E559" s="2"/>
      <c r="F559" s="2"/>
      <c r="G559" s="2"/>
      <c r="M559" s="2"/>
    </row>
    <row r="560" ht="12.75" customHeight="1">
      <c r="A560" s="2"/>
      <c r="B560" s="2"/>
      <c r="C560" s="2"/>
      <c r="E560" s="2"/>
      <c r="F560" s="2"/>
      <c r="G560" s="2"/>
      <c r="I560" s="2"/>
      <c r="J560" s="2"/>
      <c r="M560" s="2"/>
    </row>
    <row r="561" ht="12.75" customHeight="1">
      <c r="A561" s="2"/>
      <c r="B561" s="2"/>
      <c r="C561" s="2"/>
      <c r="E561" s="2"/>
      <c r="F561" s="2"/>
      <c r="G561" s="2"/>
      <c r="I561" s="2"/>
      <c r="M561" s="2"/>
    </row>
    <row r="562" ht="12.75" customHeight="1">
      <c r="A562" s="2"/>
      <c r="B562" s="2"/>
      <c r="C562" s="2"/>
      <c r="E562" s="2"/>
      <c r="F562" s="2"/>
      <c r="G562" s="2"/>
      <c r="I562" s="2"/>
    </row>
    <row r="563" ht="12.75" customHeight="1">
      <c r="A563" s="2"/>
      <c r="B563" s="2"/>
      <c r="C563" s="2"/>
      <c r="E563" s="2"/>
      <c r="F563" s="2"/>
      <c r="G563" s="2"/>
      <c r="M563" s="2"/>
    </row>
    <row r="564" ht="12.75" customHeight="1">
      <c r="A564" s="2"/>
      <c r="B564" s="2"/>
      <c r="C564" s="2"/>
      <c r="E564" s="2"/>
      <c r="F564" s="2"/>
      <c r="G564" s="2"/>
      <c r="M564" s="2"/>
    </row>
    <row r="565" ht="12.75" customHeight="1">
      <c r="A565" s="2"/>
      <c r="B565" s="2"/>
      <c r="C565" s="2"/>
      <c r="E565" s="2"/>
      <c r="F565" s="2"/>
      <c r="G565" s="2"/>
      <c r="I565" s="2"/>
    </row>
    <row r="566" ht="12.75" customHeight="1">
      <c r="A566" s="2"/>
      <c r="B566" s="2"/>
      <c r="C566" s="2"/>
      <c r="E566" s="2"/>
      <c r="F566" s="2"/>
      <c r="G566" s="2"/>
      <c r="I566" s="2"/>
    </row>
    <row r="567" ht="12.75" customHeight="1">
      <c r="A567" s="2"/>
      <c r="B567" s="2"/>
      <c r="C567" s="2"/>
      <c r="E567" s="2"/>
      <c r="F567" s="2"/>
      <c r="G567" s="2"/>
      <c r="I567" s="2"/>
      <c r="M567" s="2"/>
    </row>
    <row r="568" ht="12.75" customHeight="1">
      <c r="A568" s="2"/>
      <c r="B568" s="2"/>
      <c r="C568" s="2"/>
      <c r="E568" s="2"/>
      <c r="F568" s="2"/>
      <c r="G568" s="2"/>
      <c r="M568" s="2"/>
    </row>
    <row r="569" ht="12.75" customHeight="1">
      <c r="A569" s="2"/>
      <c r="B569" s="2"/>
      <c r="C569" s="2"/>
      <c r="E569" s="2"/>
      <c r="F569" s="2"/>
      <c r="G569" s="2"/>
      <c r="I569" s="2"/>
      <c r="J569" s="2"/>
      <c r="M569" s="2"/>
    </row>
    <row r="570" ht="12.75" customHeight="1">
      <c r="A570" s="2"/>
      <c r="B570" s="2"/>
      <c r="C570" s="2"/>
      <c r="E570" s="2"/>
      <c r="F570" s="2"/>
      <c r="G570" s="2"/>
      <c r="I570" s="2"/>
    </row>
    <row r="571" ht="12.75" customHeight="1">
      <c r="A571" s="2"/>
      <c r="B571" s="2"/>
      <c r="C571" s="2"/>
      <c r="E571" s="2"/>
      <c r="F571" s="2"/>
      <c r="G571" s="2"/>
      <c r="I571" s="2"/>
      <c r="M571" s="2"/>
    </row>
    <row r="572" ht="12.75" customHeight="1">
      <c r="A572" s="2"/>
      <c r="B572" s="2"/>
      <c r="C572" s="2"/>
      <c r="E572" s="2"/>
      <c r="F572" s="2"/>
      <c r="G572" s="2"/>
      <c r="M572" s="2"/>
    </row>
    <row r="573" ht="12.75" customHeight="1">
      <c r="A573" s="2"/>
      <c r="B573" s="2"/>
      <c r="C573" s="2"/>
      <c r="E573" s="2"/>
      <c r="F573" s="2"/>
      <c r="G573" s="2"/>
      <c r="I573" s="2"/>
      <c r="M573" s="2"/>
    </row>
    <row r="574" ht="12.75" customHeight="1">
      <c r="A574" s="2"/>
      <c r="B574" s="2"/>
      <c r="C574" s="2"/>
      <c r="E574" s="2"/>
      <c r="F574" s="2"/>
      <c r="G574" s="2"/>
      <c r="I574" s="2"/>
    </row>
    <row r="575" ht="12.75" customHeight="1">
      <c r="A575" s="2"/>
      <c r="B575" s="2"/>
      <c r="C575" s="2"/>
      <c r="E575" s="2"/>
      <c r="F575" s="2"/>
      <c r="G575" s="2"/>
      <c r="I575" s="2"/>
      <c r="M575" s="2"/>
    </row>
    <row r="576" ht="12.75" customHeight="1">
      <c r="A576" s="2"/>
      <c r="B576" s="2"/>
      <c r="C576" s="2"/>
      <c r="E576" s="2"/>
      <c r="F576" s="2"/>
      <c r="G576" s="2"/>
      <c r="I576" s="2"/>
      <c r="J576" s="2"/>
      <c r="M576" s="2"/>
    </row>
    <row r="577" ht="12.75" customHeight="1">
      <c r="A577" s="2"/>
      <c r="B577" s="2"/>
      <c r="C577" s="2"/>
      <c r="E577" s="2"/>
      <c r="F577" s="2"/>
      <c r="G577" s="2"/>
      <c r="I577" s="2"/>
      <c r="M577" s="2"/>
    </row>
    <row r="578" ht="12.75" customHeight="1">
      <c r="A578" s="2"/>
      <c r="B578" s="2"/>
      <c r="C578" s="2"/>
      <c r="E578" s="2"/>
      <c r="F578" s="2"/>
      <c r="G578" s="2"/>
      <c r="I578" s="2"/>
    </row>
    <row r="579" ht="12.75" customHeight="1">
      <c r="A579" s="2"/>
      <c r="B579" s="2"/>
      <c r="C579" s="2"/>
      <c r="E579" s="2"/>
      <c r="F579" s="2"/>
      <c r="G579" s="2"/>
      <c r="I579" s="2"/>
      <c r="M579" s="2"/>
      <c r="N579" s="2"/>
      <c r="O579" s="2"/>
    </row>
    <row r="580" ht="12.75" customHeight="1">
      <c r="A580" s="2"/>
      <c r="B580" s="2"/>
      <c r="C580" s="2"/>
      <c r="E580" s="2"/>
      <c r="F580" s="2"/>
      <c r="G580" s="2"/>
    </row>
    <row r="581" ht="12.75" customHeight="1">
      <c r="A581" s="2"/>
      <c r="B581" s="2"/>
      <c r="C581" s="2"/>
      <c r="E581" s="2"/>
      <c r="F581" s="2"/>
      <c r="G581" s="2"/>
      <c r="I581" s="2"/>
      <c r="M581" s="2"/>
    </row>
    <row r="582" ht="12.75" customHeight="1">
      <c r="A582" s="2"/>
      <c r="B582" s="2"/>
      <c r="C582" s="2"/>
      <c r="E582" s="2"/>
      <c r="F582" s="2"/>
      <c r="G582" s="2"/>
    </row>
    <row r="583" ht="12.75" customHeight="1">
      <c r="A583" s="2"/>
      <c r="B583" s="2"/>
      <c r="C583" s="2"/>
      <c r="E583" s="2"/>
      <c r="F583" s="2"/>
      <c r="G583" s="2"/>
      <c r="M583" s="2"/>
    </row>
    <row r="584" ht="12.75" customHeight="1">
      <c r="A584" s="2"/>
      <c r="B584" s="2"/>
      <c r="C584" s="2"/>
      <c r="E584" s="2"/>
      <c r="F584" s="2"/>
      <c r="G584" s="2"/>
      <c r="I584" s="2"/>
      <c r="J584" s="2"/>
      <c r="M584" s="2"/>
    </row>
    <row r="585" ht="12.75" customHeight="1">
      <c r="A585" s="2"/>
      <c r="B585" s="2"/>
      <c r="C585" s="2"/>
      <c r="E585" s="2"/>
      <c r="F585" s="2"/>
      <c r="G585" s="2"/>
      <c r="M585" s="2"/>
    </row>
    <row r="586" ht="12.75" customHeight="1">
      <c r="A586" s="2"/>
      <c r="B586" s="2"/>
      <c r="C586" s="2"/>
      <c r="E586" s="2"/>
      <c r="F586" s="2"/>
      <c r="G586" s="2"/>
      <c r="M586" s="2"/>
    </row>
    <row r="587" ht="12.75" customHeight="1">
      <c r="A587" s="2"/>
      <c r="B587" s="2"/>
      <c r="C587" s="2"/>
      <c r="E587" s="2"/>
      <c r="F587" s="2"/>
      <c r="G587" s="2"/>
      <c r="M587" s="2"/>
    </row>
    <row r="588" ht="12.75" customHeight="1">
      <c r="A588" s="2"/>
      <c r="B588" s="2"/>
      <c r="C588" s="2"/>
      <c r="E588" s="2"/>
      <c r="F588" s="2"/>
      <c r="G588" s="2"/>
      <c r="I588" s="2"/>
      <c r="J588" s="2"/>
    </row>
    <row r="589" ht="12.75" customHeight="1">
      <c r="A589" s="2"/>
      <c r="B589" s="2"/>
      <c r="C589" s="2"/>
      <c r="E589" s="2"/>
      <c r="F589" s="2"/>
      <c r="G589" s="2"/>
      <c r="I589" s="2"/>
      <c r="M589" s="2"/>
    </row>
    <row r="590" ht="12.75" customHeight="1">
      <c r="A590" s="2"/>
      <c r="B590" s="2"/>
      <c r="C590" s="2"/>
      <c r="E590" s="2"/>
      <c r="F590" s="2"/>
      <c r="G590" s="2"/>
    </row>
    <row r="591" ht="12.75" customHeight="1">
      <c r="A591" s="2"/>
      <c r="B591" s="2"/>
      <c r="C591" s="2"/>
      <c r="E591" s="2"/>
      <c r="F591" s="2"/>
      <c r="G591" s="2"/>
      <c r="I591" s="2"/>
      <c r="M591" s="2"/>
    </row>
    <row r="592" ht="12.75" customHeight="1">
      <c r="A592" s="2"/>
      <c r="B592" s="2"/>
      <c r="C592" s="2"/>
      <c r="E592" s="2"/>
      <c r="F592" s="2"/>
      <c r="G592" s="2"/>
    </row>
    <row r="593" ht="12.75" customHeight="1">
      <c r="A593" s="2"/>
      <c r="B593" s="2"/>
      <c r="C593" s="2"/>
      <c r="E593" s="2"/>
      <c r="F593" s="2"/>
      <c r="G593" s="2"/>
      <c r="M593" s="2"/>
    </row>
    <row r="594" ht="12.75" customHeight="1">
      <c r="A594" s="2"/>
      <c r="B594" s="2"/>
      <c r="C594" s="2"/>
      <c r="E594" s="2"/>
      <c r="F594" s="2"/>
      <c r="G594" s="2"/>
      <c r="M594" s="2"/>
    </row>
    <row r="595" ht="12.75" customHeight="1">
      <c r="A595" s="2"/>
      <c r="B595" s="2"/>
      <c r="C595" s="2"/>
      <c r="E595" s="2"/>
      <c r="F595" s="2"/>
      <c r="G595" s="2"/>
      <c r="M595" s="2"/>
    </row>
    <row r="596" ht="12.75" customHeight="1">
      <c r="A596" s="2"/>
      <c r="B596" s="2"/>
      <c r="C596" s="2"/>
      <c r="E596" s="2"/>
      <c r="F596" s="2"/>
      <c r="G596" s="2"/>
    </row>
    <row r="597" ht="12.75" customHeight="1">
      <c r="A597" s="2"/>
      <c r="B597" s="2"/>
      <c r="C597" s="2"/>
      <c r="E597" s="2"/>
      <c r="F597" s="2"/>
      <c r="G597" s="2"/>
    </row>
    <row r="598" ht="12.75" customHeight="1">
      <c r="A598" s="2"/>
      <c r="B598" s="2"/>
      <c r="C598" s="2"/>
      <c r="E598" s="2"/>
      <c r="F598" s="2"/>
      <c r="G598" s="2"/>
      <c r="M598" s="2"/>
    </row>
    <row r="599" ht="12.75" customHeight="1">
      <c r="A599" s="2"/>
      <c r="B599" s="2"/>
      <c r="C599" s="2"/>
      <c r="E599" s="2"/>
      <c r="F599" s="2"/>
      <c r="G599" s="2"/>
      <c r="M599" s="2"/>
    </row>
    <row r="600" ht="12.75" customHeight="1">
      <c r="A600" s="2"/>
      <c r="B600" s="2"/>
      <c r="C600" s="2"/>
      <c r="E600" s="2"/>
      <c r="F600" s="2"/>
      <c r="G600" s="2"/>
      <c r="M600" s="2"/>
    </row>
    <row r="601" ht="12.75" customHeight="1">
      <c r="A601" s="2"/>
      <c r="B601" s="2"/>
      <c r="C601" s="2"/>
      <c r="E601" s="2"/>
      <c r="F601" s="2"/>
      <c r="G601" s="2"/>
    </row>
    <row r="602" ht="12.75" customHeight="1">
      <c r="A602" s="2"/>
      <c r="B602" s="2"/>
      <c r="C602" s="2"/>
      <c r="E602" s="2"/>
      <c r="F602" s="2"/>
      <c r="G602" s="2"/>
      <c r="M602" s="2"/>
    </row>
    <row r="603" ht="12.75" customHeight="1">
      <c r="A603" s="2"/>
      <c r="B603" s="2"/>
      <c r="C603" s="2"/>
      <c r="E603" s="2"/>
      <c r="F603" s="2"/>
      <c r="G603" s="2"/>
      <c r="I603" s="2"/>
      <c r="M603" s="10"/>
    </row>
    <row r="604" ht="12.75" customHeight="1">
      <c r="A604" s="2"/>
      <c r="B604" s="2"/>
      <c r="C604" s="2"/>
      <c r="E604" s="2"/>
      <c r="F604" s="2"/>
      <c r="G604" s="2"/>
      <c r="I604" s="2"/>
    </row>
    <row r="605" ht="12.75" customHeight="1">
      <c r="A605" s="2"/>
      <c r="B605" s="2"/>
      <c r="C605" s="2"/>
      <c r="E605" s="2"/>
      <c r="F605" s="2"/>
      <c r="G605" s="2"/>
      <c r="M605" s="2"/>
    </row>
    <row r="606" ht="12.75" customHeight="1">
      <c r="A606" s="2"/>
      <c r="B606" s="2"/>
      <c r="C606" s="2"/>
      <c r="E606" s="2"/>
      <c r="F606" s="2"/>
      <c r="G606" s="2"/>
      <c r="M606" s="2"/>
    </row>
    <row r="607" ht="12.75" customHeight="1">
      <c r="A607" s="2"/>
      <c r="B607" s="2"/>
      <c r="C607" s="2"/>
      <c r="E607" s="2"/>
      <c r="F607" s="2"/>
    </row>
    <row r="608" ht="12.75" customHeight="1">
      <c r="A608" s="2"/>
      <c r="B608" s="2"/>
      <c r="C608" s="2"/>
      <c r="E608" s="2"/>
      <c r="F608" s="2"/>
      <c r="G608" s="2"/>
    </row>
    <row r="609" ht="12.75" customHeight="1">
      <c r="A609" s="2"/>
      <c r="B609" s="2"/>
      <c r="C609" s="2"/>
      <c r="E609" s="2"/>
      <c r="F609" s="2"/>
      <c r="G609" s="2"/>
      <c r="I609" s="2"/>
      <c r="M609" s="2"/>
    </row>
    <row r="610" ht="12.75" customHeight="1">
      <c r="A610" s="2"/>
      <c r="B610" s="2"/>
      <c r="C610" s="2"/>
      <c r="E610" s="2"/>
      <c r="F610" s="2"/>
      <c r="G610" s="2"/>
      <c r="M610" s="2"/>
    </row>
    <row r="611" ht="12.75" customHeight="1">
      <c r="A611" s="2"/>
      <c r="B611" s="2"/>
      <c r="C611" s="2"/>
      <c r="E611" s="2"/>
      <c r="F611" s="2"/>
      <c r="G611" s="2"/>
      <c r="M611" s="2"/>
    </row>
    <row r="612" ht="12.75" customHeight="1">
      <c r="A612" s="2"/>
      <c r="B612" s="2"/>
      <c r="C612" s="2"/>
      <c r="E612" s="2"/>
      <c r="F612" s="2"/>
      <c r="G612" s="2"/>
      <c r="I612" s="2"/>
      <c r="M612" s="2"/>
    </row>
    <row r="613" ht="12.75" customHeight="1">
      <c r="A613" s="2"/>
      <c r="B613" s="2"/>
      <c r="C613" s="2"/>
      <c r="E613" s="2"/>
      <c r="F613" s="2"/>
      <c r="G613" s="2"/>
      <c r="M613" s="2"/>
    </row>
    <row r="614" ht="12.75" customHeight="1">
      <c r="A614" s="2"/>
      <c r="B614" s="2"/>
      <c r="C614" s="2"/>
      <c r="E614" s="2"/>
      <c r="F614" s="2"/>
      <c r="G614" s="2"/>
      <c r="L614" s="2"/>
      <c r="M614" s="2"/>
    </row>
    <row r="615" ht="12.75" customHeight="1">
      <c r="A615" s="2"/>
      <c r="B615" s="2"/>
      <c r="C615" s="2"/>
      <c r="E615" s="2"/>
      <c r="F615" s="2"/>
      <c r="I615" s="2"/>
      <c r="J615" s="2"/>
    </row>
    <row r="616" ht="12.75" customHeight="1">
      <c r="A616" s="2"/>
      <c r="B616" s="2"/>
      <c r="C616" s="2"/>
      <c r="E616" s="2"/>
      <c r="F616" s="2"/>
      <c r="G616" s="2"/>
      <c r="M616" s="2"/>
    </row>
    <row r="617" ht="12.75" customHeight="1">
      <c r="A617" s="2"/>
      <c r="B617" s="2"/>
      <c r="C617" s="2"/>
      <c r="E617" s="2"/>
      <c r="F617" s="2"/>
      <c r="G617" s="2"/>
    </row>
    <row r="618" ht="12.75" customHeight="1">
      <c r="A618" s="2"/>
      <c r="B618" s="2"/>
      <c r="C618" s="2"/>
      <c r="E618" s="2"/>
      <c r="F618" s="2"/>
      <c r="G618" s="2"/>
      <c r="I618" s="2"/>
      <c r="M618" s="2"/>
    </row>
    <row r="619" ht="12.75" customHeight="1">
      <c r="A619" s="2"/>
      <c r="B619" s="2"/>
      <c r="C619" s="2"/>
      <c r="E619" s="2"/>
      <c r="F619" s="2"/>
      <c r="G619" s="2"/>
      <c r="I619" s="2"/>
      <c r="M619" s="10"/>
      <c r="N619" s="2"/>
    </row>
    <row r="620" ht="12.75" customHeight="1">
      <c r="A620" s="2"/>
      <c r="B620" s="2"/>
      <c r="C620" s="2"/>
      <c r="E620" s="2"/>
      <c r="F620" s="2"/>
      <c r="G620" s="2"/>
      <c r="I620" s="2"/>
      <c r="J620" s="2"/>
    </row>
    <row r="621" ht="12.75" customHeight="1">
      <c r="A621" s="2"/>
      <c r="B621" s="2"/>
      <c r="C621" s="2"/>
      <c r="E621" s="2"/>
      <c r="F621" s="2"/>
      <c r="G621" s="2"/>
      <c r="L621" s="2"/>
      <c r="M621" s="2"/>
    </row>
    <row r="622" ht="12.75" customHeight="1">
      <c r="A622" s="2"/>
      <c r="B622" s="2"/>
      <c r="C622" s="2"/>
      <c r="E622" s="2"/>
      <c r="F622" s="2"/>
      <c r="G622" s="2"/>
      <c r="L622" s="2"/>
      <c r="M622" s="2"/>
    </row>
    <row r="623" ht="12.75" customHeight="1">
      <c r="A623" s="2"/>
      <c r="B623" s="2"/>
      <c r="C623" s="2"/>
      <c r="E623" s="2"/>
      <c r="F623" s="2"/>
      <c r="G623" s="2"/>
      <c r="I623" s="2"/>
      <c r="M623" s="2"/>
    </row>
    <row r="624" ht="12.75" customHeight="1">
      <c r="A624" s="2"/>
      <c r="B624" s="2"/>
      <c r="C624" s="2"/>
      <c r="E624" s="2"/>
      <c r="F624" s="2"/>
      <c r="G624" s="2"/>
    </row>
    <row r="625" ht="12.75" customHeight="1">
      <c r="A625" s="2"/>
      <c r="B625" s="2"/>
      <c r="C625" s="2"/>
      <c r="E625" s="2"/>
      <c r="F625" s="2"/>
      <c r="G625" s="2"/>
      <c r="I625" s="2"/>
      <c r="M625" s="2"/>
    </row>
    <row r="626" ht="12.75" customHeight="1">
      <c r="A626" s="2"/>
      <c r="B626" s="2"/>
      <c r="C626" s="2"/>
      <c r="E626" s="2"/>
      <c r="F626" s="2"/>
      <c r="G626" s="2"/>
      <c r="M626" s="2"/>
    </row>
    <row r="627" ht="12.75" customHeight="1">
      <c r="A627" s="2"/>
      <c r="B627" s="2"/>
      <c r="C627" s="2"/>
      <c r="E627" s="2"/>
      <c r="F627" s="2"/>
      <c r="G627" s="2"/>
      <c r="I627" s="2"/>
      <c r="M627" s="2"/>
    </row>
    <row r="628" ht="12.75" customHeight="1">
      <c r="A628" s="2"/>
      <c r="B628" s="2"/>
      <c r="C628" s="2"/>
      <c r="E628" s="2"/>
      <c r="F628" s="2"/>
      <c r="G628" s="2"/>
      <c r="M628" s="2"/>
    </row>
    <row r="629" ht="12.75" customHeight="1">
      <c r="A629" s="2"/>
      <c r="B629" s="2"/>
      <c r="C629" s="2"/>
      <c r="E629" s="2"/>
      <c r="F629" s="2"/>
      <c r="G629" s="2"/>
      <c r="I629" s="2"/>
      <c r="J629" s="2"/>
      <c r="M629" s="2"/>
    </row>
    <row r="630" ht="12.75" customHeight="1">
      <c r="A630" s="2"/>
      <c r="B630" s="2"/>
      <c r="C630" s="2"/>
      <c r="E630" s="2"/>
      <c r="F630" s="2"/>
      <c r="G630" s="2"/>
      <c r="I630" s="2"/>
    </row>
    <row r="631" ht="12.75" customHeight="1">
      <c r="A631" s="2"/>
      <c r="B631" s="2"/>
      <c r="C631" s="2"/>
      <c r="E631" s="2"/>
      <c r="F631" s="2"/>
    </row>
    <row r="632" ht="12.75" customHeight="1">
      <c r="A632" s="2"/>
      <c r="B632" s="2"/>
      <c r="C632" s="2"/>
      <c r="E632" s="2"/>
      <c r="F632" s="2"/>
      <c r="G632" s="2"/>
      <c r="M632" s="2"/>
    </row>
    <row r="633" ht="12.75" customHeight="1">
      <c r="A633" s="2"/>
      <c r="B633" s="2"/>
      <c r="C633" s="2"/>
      <c r="E633" s="2"/>
      <c r="F633" s="2"/>
      <c r="G633" s="2"/>
      <c r="M633" s="2"/>
    </row>
    <row r="634" ht="12.75" customHeight="1">
      <c r="A634" s="2"/>
      <c r="B634" s="2"/>
      <c r="C634" s="2"/>
      <c r="E634" s="2"/>
      <c r="F634" s="2"/>
      <c r="G634" s="2"/>
      <c r="I634" s="2"/>
      <c r="M634" s="2"/>
    </row>
    <row r="635" ht="12.75" customHeight="1">
      <c r="A635" s="2"/>
      <c r="B635" s="2"/>
      <c r="C635" s="2"/>
      <c r="E635" s="2"/>
      <c r="F635" s="2"/>
      <c r="G635" s="2"/>
      <c r="I635" s="2"/>
      <c r="M635" s="2"/>
    </row>
    <row r="636" ht="12.75" customHeight="1">
      <c r="A636" s="2"/>
      <c r="B636" s="2"/>
      <c r="C636" s="2"/>
      <c r="E636" s="2"/>
      <c r="F636" s="2"/>
      <c r="G636" s="2"/>
      <c r="M636" s="2"/>
    </row>
    <row r="637" ht="12.75" customHeight="1">
      <c r="A637" s="2"/>
      <c r="B637" s="2"/>
      <c r="C637" s="2"/>
      <c r="E637" s="2"/>
      <c r="F637" s="2"/>
      <c r="G637" s="2"/>
      <c r="I637" s="2"/>
      <c r="M637" s="2"/>
    </row>
    <row r="638" ht="12.75" customHeight="1">
      <c r="A638" s="2"/>
      <c r="B638" s="2"/>
      <c r="C638" s="2"/>
      <c r="E638" s="2"/>
      <c r="F638" s="2"/>
      <c r="G638" s="2"/>
      <c r="I638" s="2"/>
      <c r="M638" s="2"/>
    </row>
    <row r="639" ht="12.75" customHeight="1">
      <c r="A639" s="2"/>
      <c r="B639" s="2"/>
      <c r="C639" s="2"/>
      <c r="E639" s="2"/>
      <c r="F639" s="2"/>
      <c r="G639" s="2"/>
      <c r="M639" s="2"/>
    </row>
    <row r="640" ht="12.75" customHeight="1">
      <c r="A640" s="2"/>
      <c r="B640" s="2"/>
      <c r="C640" s="2"/>
      <c r="E640" s="2"/>
      <c r="F640" s="2"/>
      <c r="G640" s="2"/>
      <c r="I640" s="2"/>
      <c r="M640" s="2"/>
    </row>
    <row r="641" ht="12.75" customHeight="1">
      <c r="A641" s="2"/>
      <c r="B641" s="2"/>
      <c r="C641" s="2"/>
      <c r="E641" s="2"/>
      <c r="F641" s="2"/>
      <c r="G641" s="2"/>
      <c r="I641" s="2"/>
      <c r="M641" s="2"/>
    </row>
    <row r="642" ht="12.75" customHeight="1">
      <c r="A642" s="2"/>
      <c r="B642" s="2"/>
      <c r="C642" s="2"/>
      <c r="E642" s="2"/>
      <c r="F642" s="2"/>
      <c r="G642" s="2"/>
      <c r="M642" s="2"/>
    </row>
    <row r="643" ht="12.75" customHeight="1">
      <c r="A643" s="2"/>
      <c r="B643" s="2"/>
      <c r="C643" s="2"/>
      <c r="E643" s="2"/>
      <c r="F643" s="2"/>
      <c r="G643" s="2"/>
      <c r="M643" s="2"/>
    </row>
    <row r="644" ht="12.75" customHeight="1">
      <c r="A644" s="2"/>
      <c r="B644" s="2"/>
      <c r="C644" s="2"/>
      <c r="E644" s="2"/>
      <c r="F644" s="2"/>
    </row>
    <row r="645" ht="12.75" customHeight="1">
      <c r="A645" s="2"/>
      <c r="B645" s="2"/>
      <c r="C645" s="2"/>
      <c r="E645" s="2"/>
      <c r="F645" s="2"/>
      <c r="G645" s="2"/>
      <c r="M645" s="2"/>
    </row>
    <row r="646" ht="12.75" customHeight="1">
      <c r="A646" s="2"/>
      <c r="B646" s="2"/>
      <c r="C646" s="2"/>
      <c r="E646" s="2"/>
      <c r="F646" s="2"/>
      <c r="G646" s="2"/>
    </row>
    <row r="647" ht="12.75" customHeight="1">
      <c r="A647" s="2"/>
      <c r="B647" s="2"/>
      <c r="C647" s="2"/>
      <c r="E647" s="2"/>
      <c r="F647" s="2"/>
      <c r="G647" s="2"/>
      <c r="I647" s="2"/>
    </row>
    <row r="648" ht="12.75" customHeight="1">
      <c r="A648" s="2"/>
      <c r="B648" s="2"/>
      <c r="C648" s="2"/>
      <c r="E648" s="2"/>
      <c r="F648" s="2"/>
    </row>
    <row r="649" ht="12.75" customHeight="1">
      <c r="A649" s="2"/>
      <c r="B649" s="2"/>
      <c r="C649" s="2"/>
      <c r="E649" s="2"/>
      <c r="F649" s="2"/>
      <c r="G649" s="2"/>
      <c r="M649" s="2"/>
    </row>
    <row r="650" ht="12.75" customHeight="1">
      <c r="A650" s="2"/>
      <c r="B650" s="2"/>
      <c r="C650" s="2"/>
      <c r="E650" s="2"/>
      <c r="F650" s="2"/>
      <c r="G650" s="2"/>
      <c r="I650" s="2"/>
      <c r="M650" s="10"/>
    </row>
    <row r="651" ht="12.75" customHeight="1">
      <c r="A651" s="2"/>
      <c r="B651" s="2"/>
      <c r="C651" s="2"/>
      <c r="E651" s="2"/>
      <c r="F651" s="2"/>
      <c r="G651" s="2"/>
      <c r="M651" s="2"/>
    </row>
    <row r="652" ht="12.75" customHeight="1">
      <c r="A652" s="2"/>
      <c r="B652" s="2"/>
      <c r="C652" s="2"/>
      <c r="E652" s="2"/>
      <c r="F652" s="2"/>
      <c r="G652" s="2"/>
      <c r="M652" s="2"/>
    </row>
    <row r="653" ht="12.75" customHeight="1">
      <c r="A653" s="2"/>
      <c r="B653" s="2"/>
      <c r="C653" s="2"/>
      <c r="E653" s="2"/>
      <c r="F653" s="2"/>
      <c r="G653" s="2"/>
    </row>
    <row r="654" ht="12.75" customHeight="1">
      <c r="A654" s="2"/>
      <c r="B654" s="2"/>
      <c r="C654" s="2"/>
      <c r="E654" s="2"/>
      <c r="F654" s="2"/>
    </row>
    <row r="655" ht="12.75" customHeight="1">
      <c r="A655" s="2"/>
      <c r="B655" s="2"/>
      <c r="C655" s="2"/>
      <c r="E655" s="2"/>
      <c r="F655" s="2"/>
      <c r="G655" s="2"/>
      <c r="M655" s="2"/>
    </row>
    <row r="656" ht="12.75" customHeight="1">
      <c r="A656" s="2"/>
      <c r="B656" s="2"/>
      <c r="C656" s="2"/>
      <c r="E656" s="2"/>
      <c r="F656" s="2"/>
      <c r="G656" s="2"/>
      <c r="M656" s="2"/>
    </row>
    <row r="657" ht="12.75" customHeight="1">
      <c r="A657" s="2"/>
      <c r="B657" s="2"/>
      <c r="C657" s="2"/>
      <c r="E657" s="2"/>
      <c r="F657" s="2"/>
      <c r="G657" s="2"/>
    </row>
    <row r="658" ht="12.75" customHeight="1">
      <c r="A658" s="2"/>
      <c r="B658" s="2"/>
      <c r="C658" s="2"/>
      <c r="E658" s="2"/>
      <c r="F658" s="2"/>
      <c r="G658" s="2"/>
    </row>
    <row r="659" ht="12.75" customHeight="1">
      <c r="A659" s="2"/>
      <c r="B659" s="2"/>
      <c r="C659" s="2"/>
      <c r="E659" s="2"/>
      <c r="F659" s="2"/>
      <c r="G659" s="2"/>
      <c r="I659" s="2"/>
      <c r="M659" s="2"/>
    </row>
    <row r="660" ht="12.75" customHeight="1">
      <c r="A660" s="2"/>
      <c r="B660" s="2"/>
      <c r="C660" s="2"/>
      <c r="E660" s="2"/>
      <c r="F660" s="2"/>
      <c r="G660" s="2"/>
      <c r="M660" s="2"/>
    </row>
    <row r="661" ht="12.75" customHeight="1">
      <c r="A661" s="2"/>
      <c r="B661" s="2"/>
      <c r="C661" s="2"/>
      <c r="E661" s="2"/>
      <c r="F661" s="2"/>
      <c r="G661" s="2"/>
    </row>
    <row r="662" ht="12.75" customHeight="1">
      <c r="A662" s="2"/>
      <c r="B662" s="2"/>
      <c r="C662" s="2"/>
      <c r="E662" s="2"/>
      <c r="F662" s="2"/>
      <c r="G662" s="2"/>
      <c r="M662" s="2"/>
    </row>
    <row r="663" ht="12.75" customHeight="1">
      <c r="A663" s="2"/>
      <c r="B663" s="2"/>
      <c r="C663" s="2"/>
      <c r="E663" s="2"/>
      <c r="F663" s="2"/>
      <c r="G663" s="2"/>
      <c r="I663" s="2"/>
      <c r="M663" s="2"/>
    </row>
    <row r="664" ht="12.75" customHeight="1">
      <c r="A664" s="2"/>
      <c r="B664" s="2"/>
      <c r="C664" s="2"/>
      <c r="E664" s="2"/>
      <c r="F664" s="2"/>
      <c r="G664" s="2"/>
      <c r="I664" s="2"/>
      <c r="M664" s="2"/>
    </row>
    <row r="665" ht="12.75" customHeight="1">
      <c r="A665" s="2"/>
      <c r="B665" s="2"/>
      <c r="C665" s="2"/>
      <c r="E665" s="2"/>
      <c r="F665" s="2"/>
      <c r="G665" s="2"/>
      <c r="M665" s="2"/>
    </row>
    <row r="666" ht="12.75" customHeight="1">
      <c r="A666" s="2"/>
      <c r="B666" s="2"/>
      <c r="C666" s="2"/>
      <c r="E666" s="2"/>
      <c r="F666" s="2"/>
      <c r="G666" s="2"/>
      <c r="I666" s="2"/>
      <c r="M666" s="2"/>
    </row>
    <row r="667" ht="12.75" customHeight="1">
      <c r="A667" s="2"/>
      <c r="B667" s="2"/>
      <c r="C667" s="2"/>
      <c r="E667" s="2"/>
      <c r="F667" s="2"/>
      <c r="G667" s="2"/>
      <c r="M667" s="2"/>
    </row>
    <row r="668" ht="12.75" customHeight="1">
      <c r="A668" s="2"/>
      <c r="B668" s="2"/>
      <c r="C668" s="2"/>
      <c r="E668" s="2"/>
      <c r="F668" s="2"/>
      <c r="G668" s="2"/>
      <c r="M668" s="2"/>
    </row>
    <row r="669" ht="12.75" customHeight="1">
      <c r="A669" s="2"/>
      <c r="B669" s="2"/>
      <c r="C669" s="2"/>
      <c r="E669" s="2"/>
      <c r="F669" s="2"/>
      <c r="G669" s="2"/>
      <c r="M669" s="2"/>
    </row>
    <row r="670" ht="12.75" customHeight="1">
      <c r="A670" s="2"/>
      <c r="B670" s="2"/>
      <c r="C670" s="2"/>
      <c r="E670" s="2"/>
      <c r="F670" s="2"/>
      <c r="G670" s="2"/>
    </row>
    <row r="671" ht="12.75" customHeight="1">
      <c r="A671" s="2"/>
      <c r="B671" s="2"/>
      <c r="C671" s="2"/>
      <c r="E671" s="2"/>
      <c r="F671" s="2"/>
      <c r="G671" s="2"/>
      <c r="M671" s="2"/>
    </row>
    <row r="672" ht="12.75" customHeight="1">
      <c r="A672" s="2"/>
      <c r="B672" s="2"/>
      <c r="C672" s="2"/>
      <c r="E672" s="2"/>
      <c r="F672" s="2"/>
      <c r="G672" s="2"/>
    </row>
    <row r="673" ht="12.75" customHeight="1">
      <c r="A673" s="2"/>
      <c r="B673" s="2"/>
      <c r="C673" s="2"/>
      <c r="E673" s="2"/>
      <c r="F673" s="2"/>
      <c r="G673" s="2"/>
      <c r="M673" s="10"/>
    </row>
    <row r="674" ht="12.75" customHeight="1">
      <c r="A674" s="2"/>
      <c r="B674" s="2"/>
      <c r="C674" s="2"/>
      <c r="E674" s="2"/>
      <c r="F674" s="2"/>
      <c r="G674" s="2"/>
      <c r="M674" s="2"/>
    </row>
    <row r="675" ht="12.75" customHeight="1">
      <c r="A675" s="2"/>
      <c r="B675" s="2"/>
      <c r="C675" s="2"/>
      <c r="E675" s="2"/>
      <c r="F675" s="2"/>
      <c r="G675" s="2"/>
      <c r="I675" s="2"/>
      <c r="M675" s="2"/>
    </row>
    <row r="676" ht="12.75" customHeight="1">
      <c r="A676" s="2"/>
      <c r="B676" s="2"/>
      <c r="C676" s="2"/>
      <c r="E676" s="2"/>
      <c r="F676" s="2"/>
      <c r="G676" s="2"/>
      <c r="M676" s="2"/>
    </row>
    <row r="677" ht="12.75" customHeight="1">
      <c r="A677" s="2"/>
      <c r="B677" s="2"/>
      <c r="C677" s="2"/>
      <c r="E677" s="2"/>
      <c r="F677" s="2"/>
      <c r="G677" s="2"/>
      <c r="M677" s="2"/>
    </row>
    <row r="678" ht="12.75" customHeight="1">
      <c r="A678" s="2"/>
      <c r="B678" s="2"/>
      <c r="C678" s="2"/>
      <c r="E678" s="2"/>
      <c r="F678" s="2"/>
      <c r="G678" s="2"/>
      <c r="M678" s="10"/>
    </row>
    <row r="679" ht="12.75" customHeight="1">
      <c r="A679" s="2"/>
      <c r="B679" s="2"/>
      <c r="C679" s="2"/>
      <c r="E679" s="2"/>
      <c r="F679" s="2"/>
      <c r="G679" s="2"/>
      <c r="M679" s="2"/>
    </row>
    <row r="680" ht="12.75" customHeight="1">
      <c r="A680" s="2"/>
      <c r="B680" s="2"/>
      <c r="C680" s="2"/>
      <c r="E680" s="2"/>
      <c r="F680" s="2"/>
    </row>
    <row r="681" ht="12.75" customHeight="1">
      <c r="A681" s="2"/>
      <c r="B681" s="2"/>
      <c r="C681" s="2"/>
      <c r="E681" s="2"/>
      <c r="F681" s="2"/>
      <c r="G681" s="2"/>
      <c r="M681" s="2"/>
    </row>
    <row r="682" ht="12.75" customHeight="1">
      <c r="A682" s="2"/>
      <c r="B682" s="2"/>
      <c r="C682" s="2"/>
      <c r="E682" s="2"/>
      <c r="F682" s="2"/>
      <c r="G682" s="2"/>
      <c r="M682" s="2"/>
    </row>
    <row r="683" ht="12.75" customHeight="1">
      <c r="A683" s="2"/>
      <c r="B683" s="2"/>
      <c r="C683" s="2"/>
      <c r="E683" s="2"/>
      <c r="F683" s="2"/>
      <c r="G683" s="2"/>
      <c r="M683" s="2"/>
    </row>
    <row r="684" ht="12.75" customHeight="1">
      <c r="A684" s="2"/>
      <c r="B684" s="2"/>
      <c r="C684" s="2"/>
      <c r="E684" s="2"/>
      <c r="F684" s="2"/>
      <c r="G684" s="2"/>
      <c r="I684" s="2"/>
      <c r="M684" s="2"/>
    </row>
    <row r="685" ht="12.75" customHeight="1">
      <c r="A685" s="2"/>
      <c r="B685" s="2"/>
      <c r="C685" s="2"/>
      <c r="E685" s="2"/>
      <c r="F685" s="2"/>
      <c r="G685" s="2"/>
      <c r="I685" s="2"/>
      <c r="M685" s="2"/>
    </row>
    <row r="686" ht="12.75" customHeight="1">
      <c r="A686" s="2"/>
      <c r="B686" s="2"/>
      <c r="C686" s="2"/>
      <c r="E686" s="2"/>
      <c r="F686" s="2"/>
      <c r="G686" s="2"/>
      <c r="I686" s="2"/>
      <c r="M686" s="2"/>
    </row>
    <row r="687" ht="12.75" customHeight="1">
      <c r="A687" s="2"/>
      <c r="B687" s="2"/>
      <c r="C687" s="2"/>
      <c r="E687" s="2"/>
      <c r="F687" s="2"/>
      <c r="G687" s="2"/>
      <c r="I687" s="2"/>
      <c r="M687" s="2"/>
    </row>
    <row r="688" ht="12.75" customHeight="1">
      <c r="A688" s="2"/>
      <c r="B688" s="2"/>
      <c r="C688" s="2"/>
      <c r="E688" s="2"/>
      <c r="F688" s="2"/>
      <c r="G688" s="2"/>
      <c r="I688" s="2"/>
      <c r="M688" s="2"/>
    </row>
    <row r="689" ht="12.75" customHeight="1">
      <c r="A689" s="2"/>
      <c r="B689" s="2"/>
      <c r="C689" s="2"/>
      <c r="E689" s="2"/>
      <c r="F689" s="2"/>
      <c r="G689" s="2"/>
      <c r="M689" s="2"/>
    </row>
    <row r="690" ht="12.75" customHeight="1">
      <c r="A690" s="2"/>
      <c r="B690" s="2"/>
      <c r="C690" s="2"/>
      <c r="E690" s="2"/>
      <c r="F690" s="2"/>
      <c r="G690" s="2"/>
      <c r="L690" s="2"/>
      <c r="M690" s="2"/>
    </row>
    <row r="691" ht="12.75" customHeight="1">
      <c r="A691" s="2"/>
      <c r="B691" s="2"/>
      <c r="C691" s="2"/>
      <c r="E691" s="2"/>
      <c r="F691" s="2"/>
      <c r="G691" s="2"/>
      <c r="I691" s="2"/>
      <c r="M691" s="2"/>
    </row>
    <row r="692" ht="12.75" customHeight="1">
      <c r="A692" s="2"/>
      <c r="B692" s="2"/>
      <c r="C692" s="2"/>
      <c r="E692" s="2"/>
      <c r="F692" s="2"/>
      <c r="G692" s="2"/>
      <c r="M692" s="2"/>
    </row>
    <row r="693" ht="12.75" customHeight="1">
      <c r="A693" s="2"/>
      <c r="B693" s="2"/>
      <c r="C693" s="2"/>
      <c r="E693" s="2"/>
      <c r="F693" s="2"/>
    </row>
    <row r="694" ht="12.75" customHeight="1">
      <c r="A694" s="2"/>
      <c r="B694" s="2"/>
      <c r="C694" s="2"/>
      <c r="E694" s="2"/>
      <c r="F694" s="2"/>
      <c r="G694" s="2"/>
      <c r="I694" s="2"/>
      <c r="M694" s="2"/>
    </row>
    <row r="695" ht="12.75" customHeight="1">
      <c r="A695" s="2"/>
      <c r="B695" s="2"/>
      <c r="C695" s="2"/>
      <c r="E695" s="2"/>
      <c r="F695" s="2"/>
      <c r="G695" s="2"/>
      <c r="L695" s="2"/>
      <c r="M695" s="2"/>
    </row>
    <row r="696" ht="12.75" customHeight="1">
      <c r="A696" s="2"/>
      <c r="B696" s="2"/>
      <c r="C696" s="2"/>
      <c r="E696" s="2"/>
      <c r="F696" s="2"/>
      <c r="G696" s="2"/>
      <c r="M696" s="2"/>
    </row>
    <row r="697" ht="12.75" customHeight="1">
      <c r="A697" s="2"/>
      <c r="B697" s="2"/>
      <c r="C697" s="2"/>
      <c r="E697" s="2"/>
      <c r="F697" s="2"/>
      <c r="G697" s="2"/>
      <c r="I697" s="2"/>
      <c r="M697" s="2"/>
    </row>
    <row r="698" ht="12.75" customHeight="1">
      <c r="A698" s="2"/>
      <c r="B698" s="2"/>
      <c r="C698" s="2"/>
      <c r="E698" s="2"/>
      <c r="F698" s="2"/>
      <c r="G698" s="2"/>
      <c r="I698" s="2"/>
    </row>
    <row r="699" ht="12.75" customHeight="1">
      <c r="A699" s="2"/>
      <c r="B699" s="2"/>
      <c r="C699" s="2"/>
      <c r="E699" s="2"/>
      <c r="F699" s="2"/>
      <c r="G699" s="2"/>
      <c r="I699" s="2"/>
      <c r="M699" s="2"/>
    </row>
    <row r="700" ht="12.75" customHeight="1">
      <c r="A700" s="2"/>
      <c r="B700" s="2"/>
      <c r="C700" s="2"/>
      <c r="E700" s="2"/>
      <c r="F700" s="2"/>
      <c r="G700" s="2"/>
      <c r="I700" s="2"/>
      <c r="M700" s="2"/>
    </row>
    <row r="701" ht="12.75" customHeight="1">
      <c r="A701" s="2"/>
      <c r="B701" s="2"/>
      <c r="C701" s="2"/>
      <c r="E701" s="2"/>
      <c r="F701" s="2"/>
      <c r="G701" s="2"/>
      <c r="M701" s="2"/>
    </row>
    <row r="702" ht="12.75" customHeight="1">
      <c r="A702" s="2"/>
      <c r="B702" s="2"/>
      <c r="C702" s="2"/>
      <c r="E702" s="2"/>
      <c r="F702" s="2"/>
      <c r="G702" s="2"/>
      <c r="M702" s="2"/>
    </row>
    <row r="703" ht="12.75" customHeight="1">
      <c r="A703" s="2"/>
      <c r="B703" s="2"/>
      <c r="C703" s="2"/>
      <c r="E703" s="2"/>
      <c r="F703" s="2"/>
      <c r="G703" s="2"/>
      <c r="M703" s="2"/>
    </row>
    <row r="704" ht="12.75" customHeight="1">
      <c r="A704" s="2"/>
      <c r="B704" s="2"/>
      <c r="C704" s="2"/>
      <c r="E704" s="2"/>
      <c r="F704" s="2"/>
    </row>
    <row r="705" ht="12.75" customHeight="1">
      <c r="A705" s="2"/>
      <c r="B705" s="2"/>
      <c r="C705" s="2"/>
      <c r="E705" s="2"/>
      <c r="F705" s="2"/>
      <c r="G705" s="2"/>
      <c r="L705" s="2"/>
      <c r="M705" s="2"/>
    </row>
    <row r="706" ht="12.75" customHeight="1">
      <c r="A706" s="2"/>
      <c r="B706" s="2"/>
      <c r="C706" s="2"/>
      <c r="E706" s="2"/>
      <c r="F706" s="2"/>
      <c r="G706" s="2"/>
      <c r="M706" s="2"/>
    </row>
    <row r="707" ht="12.75" customHeight="1">
      <c r="A707" s="2"/>
      <c r="B707" s="2"/>
      <c r="C707" s="2"/>
      <c r="E707" s="2"/>
      <c r="F707" s="2"/>
      <c r="G707" s="2"/>
      <c r="I707" s="2"/>
    </row>
    <row r="708" ht="12.75" customHeight="1">
      <c r="A708" s="2"/>
      <c r="B708" s="2"/>
      <c r="C708" s="2"/>
      <c r="E708" s="2"/>
      <c r="F708" s="2"/>
      <c r="G708" s="2"/>
      <c r="L708" s="2"/>
      <c r="M708" s="2"/>
    </row>
    <row r="709" ht="12.75" customHeight="1">
      <c r="A709" s="2"/>
      <c r="B709" s="2"/>
      <c r="C709" s="2"/>
      <c r="E709" s="2"/>
      <c r="F709" s="2"/>
      <c r="G709" s="2"/>
      <c r="L709" s="2"/>
      <c r="M709" s="2"/>
    </row>
    <row r="710" ht="12.75" customHeight="1">
      <c r="A710" s="2"/>
      <c r="B710" s="2"/>
      <c r="C710" s="2"/>
      <c r="E710" s="2"/>
      <c r="F710" s="2"/>
      <c r="G710" s="2"/>
      <c r="I710" s="2"/>
      <c r="J710" s="2"/>
    </row>
    <row r="711" ht="12.75" customHeight="1">
      <c r="A711" s="2"/>
      <c r="B711" s="2"/>
      <c r="C711" s="2"/>
      <c r="E711" s="2"/>
      <c r="F711" s="2"/>
      <c r="G711" s="2"/>
    </row>
    <row r="712" ht="12.75" customHeight="1">
      <c r="A712" s="2"/>
      <c r="B712" s="2"/>
      <c r="C712" s="2"/>
      <c r="E712" s="2"/>
      <c r="F712" s="2"/>
      <c r="G712" s="2"/>
      <c r="I712" s="2"/>
      <c r="M712" s="2"/>
    </row>
    <row r="713" ht="12.75" customHeight="1">
      <c r="A713" s="2"/>
      <c r="B713" s="2"/>
      <c r="C713" s="2"/>
      <c r="E713" s="2"/>
      <c r="F713" s="2"/>
      <c r="G713" s="2"/>
      <c r="M713" s="2"/>
    </row>
    <row r="714" ht="12.75" customHeight="1">
      <c r="A714" s="2"/>
      <c r="B714" s="2"/>
      <c r="C714" s="2"/>
      <c r="E714" s="2"/>
      <c r="F714" s="2"/>
      <c r="G714" s="2"/>
      <c r="M714" s="2"/>
    </row>
    <row r="715" ht="12.75" customHeight="1">
      <c r="A715" s="2"/>
      <c r="B715" s="2"/>
      <c r="C715" s="2"/>
      <c r="E715" s="2"/>
      <c r="F715" s="2"/>
      <c r="G715" s="2"/>
      <c r="I715" s="2"/>
      <c r="M715" s="2"/>
    </row>
    <row r="716" ht="12.75" customHeight="1">
      <c r="A716" s="2"/>
      <c r="B716" s="2"/>
      <c r="C716" s="2"/>
      <c r="E716" s="2"/>
      <c r="F716" s="2"/>
      <c r="G716" s="2"/>
      <c r="M716" s="2"/>
    </row>
    <row r="717" ht="12.75" customHeight="1">
      <c r="A717" s="2"/>
      <c r="B717" s="2"/>
      <c r="C717" s="2"/>
      <c r="E717" s="2"/>
      <c r="F717" s="2"/>
      <c r="G717" s="2"/>
      <c r="M717" s="2"/>
    </row>
    <row r="718" ht="12.75" customHeight="1">
      <c r="A718" s="2"/>
      <c r="B718" s="2"/>
      <c r="C718" s="2"/>
      <c r="E718" s="2"/>
      <c r="F718" s="2"/>
      <c r="G718" s="2"/>
      <c r="I718" s="2"/>
      <c r="J718" s="2"/>
      <c r="L718" s="2"/>
      <c r="M718" s="2"/>
    </row>
    <row r="719" ht="12.75" customHeight="1">
      <c r="A719" s="2"/>
      <c r="B719" s="2"/>
      <c r="C719" s="2"/>
      <c r="E719" s="2"/>
      <c r="F719" s="2"/>
      <c r="G719" s="2"/>
      <c r="I719" s="2"/>
    </row>
    <row r="720" ht="12.75" customHeight="1">
      <c r="A720" s="2"/>
      <c r="B720" s="2"/>
      <c r="C720" s="2"/>
      <c r="E720" s="2"/>
      <c r="F720" s="2"/>
      <c r="G720" s="2"/>
      <c r="I720" s="2"/>
      <c r="L720" s="2"/>
      <c r="M720" s="2"/>
    </row>
    <row r="721" ht="12.75" customHeight="1">
      <c r="A721" s="2"/>
      <c r="B721" s="2"/>
      <c r="C721" s="2"/>
      <c r="E721" s="2"/>
      <c r="F721" s="2"/>
      <c r="G721" s="2"/>
      <c r="I721" s="2"/>
      <c r="J721" s="2"/>
      <c r="L721" s="2"/>
      <c r="M721" s="2"/>
    </row>
    <row r="722" ht="12.75" customHeight="1">
      <c r="A722" s="2"/>
      <c r="B722" s="2"/>
      <c r="C722" s="2"/>
      <c r="E722" s="2"/>
      <c r="F722" s="2"/>
      <c r="G722" s="2"/>
      <c r="L722" s="2"/>
      <c r="M722" s="2"/>
    </row>
    <row r="723" ht="12.75" customHeight="1">
      <c r="A723" s="2"/>
      <c r="B723" s="2"/>
      <c r="C723" s="2"/>
      <c r="E723" s="2"/>
      <c r="F723" s="2"/>
      <c r="G723" s="2"/>
      <c r="L723" s="2"/>
      <c r="M723" s="2"/>
    </row>
    <row r="724" ht="12.75" customHeight="1">
      <c r="A724" s="2"/>
      <c r="B724" s="2"/>
      <c r="C724" s="2"/>
      <c r="E724" s="2"/>
      <c r="F724" s="2"/>
      <c r="G724" s="2"/>
      <c r="I724" s="2"/>
      <c r="L724" s="2"/>
      <c r="M724" s="2"/>
    </row>
    <row r="725" ht="12.75" customHeight="1">
      <c r="A725" s="2"/>
      <c r="B725" s="2"/>
      <c r="C725" s="2"/>
      <c r="E725" s="2"/>
      <c r="F725" s="2"/>
      <c r="G725" s="2"/>
      <c r="M725" s="2"/>
    </row>
    <row r="726" ht="12.75" customHeight="1">
      <c r="A726" s="2"/>
      <c r="B726" s="2"/>
      <c r="C726" s="2"/>
      <c r="E726" s="2"/>
      <c r="F726" s="2"/>
      <c r="G726" s="2"/>
      <c r="M726" s="2"/>
    </row>
    <row r="727" ht="12.75" customHeight="1">
      <c r="A727" s="2"/>
      <c r="B727" s="2"/>
      <c r="C727" s="2"/>
      <c r="E727" s="2"/>
      <c r="F727" s="2"/>
      <c r="G727" s="2"/>
      <c r="L727" s="2"/>
      <c r="M727" s="2"/>
    </row>
    <row r="728" ht="12.75" customHeight="1">
      <c r="A728" s="2"/>
      <c r="B728" s="2"/>
      <c r="C728" s="2"/>
      <c r="E728" s="2"/>
      <c r="F728" s="2"/>
      <c r="G728" s="2"/>
      <c r="I728" s="2"/>
      <c r="L728" s="2"/>
      <c r="M728" s="2"/>
    </row>
    <row r="729" ht="12.75" customHeight="1">
      <c r="A729" s="2"/>
      <c r="B729" s="2"/>
      <c r="C729" s="2"/>
      <c r="E729" s="2"/>
      <c r="F729" s="2"/>
      <c r="G729" s="2"/>
    </row>
    <row r="730" ht="12.75" customHeight="1">
      <c r="A730" s="2"/>
      <c r="B730" s="2"/>
      <c r="C730" s="2"/>
      <c r="E730" s="2"/>
      <c r="F730" s="2"/>
    </row>
    <row r="731" ht="12.75" customHeight="1">
      <c r="A731" s="2"/>
      <c r="B731" s="2"/>
      <c r="C731" s="2"/>
      <c r="E731" s="2"/>
      <c r="F731" s="2"/>
      <c r="G731" s="2"/>
      <c r="I731" s="2"/>
      <c r="M731" s="2"/>
    </row>
    <row r="732" ht="12.75" customHeight="1">
      <c r="A732" s="2"/>
      <c r="B732" s="2"/>
      <c r="C732" s="2"/>
      <c r="E732" s="2"/>
      <c r="F732" s="2"/>
      <c r="G732" s="2"/>
      <c r="L732" s="2"/>
      <c r="M732" s="2"/>
    </row>
    <row r="733" ht="12.75" customHeight="1">
      <c r="A733" s="2"/>
      <c r="B733" s="2"/>
      <c r="C733" s="2"/>
      <c r="E733" s="2"/>
      <c r="F733" s="2"/>
      <c r="G733" s="2"/>
      <c r="L733" s="2"/>
      <c r="M733" s="2"/>
    </row>
    <row r="734" ht="12.75" customHeight="1">
      <c r="A734" s="2"/>
      <c r="B734" s="2"/>
      <c r="C734" s="2"/>
      <c r="E734" s="2"/>
      <c r="F734" s="2"/>
      <c r="G734" s="2"/>
      <c r="I734" s="2"/>
      <c r="L734" s="2"/>
      <c r="M734" s="2"/>
    </row>
    <row r="735" ht="12.75" customHeight="1">
      <c r="A735" s="2"/>
      <c r="B735" s="2"/>
      <c r="C735" s="2"/>
      <c r="E735" s="2"/>
      <c r="F735" s="2"/>
      <c r="G735" s="2"/>
      <c r="I735" s="2"/>
      <c r="M735" s="2"/>
    </row>
    <row r="736" ht="12.75" customHeight="1">
      <c r="A736" s="2"/>
      <c r="B736" s="2"/>
      <c r="C736" s="2"/>
      <c r="E736" s="2"/>
      <c r="F736" s="2"/>
      <c r="G736" s="2"/>
    </row>
    <row r="737" ht="12.75" customHeight="1">
      <c r="A737" s="2"/>
      <c r="B737" s="2"/>
      <c r="C737" s="2"/>
      <c r="E737" s="2"/>
      <c r="F737" s="2"/>
      <c r="G737" s="2"/>
      <c r="L737" s="2"/>
      <c r="M737" s="2"/>
    </row>
    <row r="738" ht="12.75" customHeight="1">
      <c r="A738" s="2"/>
      <c r="B738" s="2"/>
      <c r="C738" s="2"/>
      <c r="E738" s="2"/>
      <c r="F738" s="2"/>
      <c r="G738" s="2"/>
      <c r="L738" s="2"/>
      <c r="M738" s="2"/>
    </row>
    <row r="739" ht="12.75" customHeight="1">
      <c r="A739" s="2"/>
      <c r="B739" s="2"/>
      <c r="C739" s="2"/>
      <c r="E739" s="2"/>
      <c r="F739" s="2"/>
      <c r="G739" s="2"/>
    </row>
    <row r="740" ht="12.75" customHeight="1">
      <c r="A740" s="2"/>
      <c r="B740" s="2"/>
      <c r="C740" s="2"/>
      <c r="E740" s="2"/>
      <c r="F740" s="2"/>
      <c r="G740" s="2"/>
      <c r="I740" s="2"/>
      <c r="M740" s="2"/>
    </row>
    <row r="741" ht="12.75" customHeight="1">
      <c r="A741" s="2"/>
      <c r="B741" s="2"/>
      <c r="C741" s="2"/>
      <c r="E741" s="2"/>
      <c r="F741" s="2"/>
      <c r="G741" s="2"/>
    </row>
    <row r="742" ht="12.75" customHeight="1">
      <c r="A742" s="2"/>
      <c r="B742" s="2"/>
      <c r="C742" s="2"/>
      <c r="E742" s="2"/>
      <c r="F742" s="2"/>
      <c r="G742" s="2"/>
      <c r="I742" s="2"/>
      <c r="L742" s="2"/>
      <c r="M742" s="2"/>
    </row>
    <row r="743" ht="12.75" customHeight="1">
      <c r="A743" s="2"/>
      <c r="B743" s="2"/>
      <c r="C743" s="2"/>
      <c r="E743" s="2"/>
      <c r="F743" s="2"/>
      <c r="G743" s="2"/>
      <c r="L743" s="2"/>
      <c r="M743" s="2"/>
    </row>
    <row r="744" ht="12.75" customHeight="1">
      <c r="A744" s="2"/>
      <c r="B744" s="2"/>
      <c r="C744" s="2"/>
      <c r="E744" s="2"/>
      <c r="F744" s="2"/>
      <c r="G744" s="2"/>
      <c r="M744" s="2"/>
    </row>
    <row r="745" ht="12.75" customHeight="1">
      <c r="A745" s="2"/>
      <c r="B745" s="2"/>
      <c r="C745" s="2"/>
      <c r="E745" s="2"/>
      <c r="F745" s="2"/>
      <c r="G745" s="2"/>
      <c r="L745" s="2"/>
      <c r="M745" s="2"/>
    </row>
    <row r="746" ht="12.75" customHeight="1">
      <c r="A746" s="2"/>
      <c r="B746" s="2"/>
      <c r="C746" s="2"/>
      <c r="E746" s="2"/>
      <c r="F746" s="2"/>
      <c r="G746" s="2"/>
      <c r="I746" s="2"/>
      <c r="M746" s="2"/>
    </row>
    <row r="747" ht="12.75" customHeight="1">
      <c r="A747" s="2"/>
      <c r="B747" s="2"/>
      <c r="C747" s="2"/>
      <c r="E747" s="2"/>
      <c r="F747" s="2"/>
      <c r="G747" s="2"/>
      <c r="M747" s="2"/>
    </row>
    <row r="748" ht="12.75" customHeight="1">
      <c r="A748" s="2"/>
      <c r="B748" s="2"/>
      <c r="C748" s="2"/>
      <c r="E748" s="2"/>
      <c r="F748" s="2"/>
      <c r="G748" s="2"/>
      <c r="M748" s="2"/>
    </row>
    <row r="749" ht="12.75" customHeight="1">
      <c r="A749" s="2"/>
      <c r="B749" s="2"/>
      <c r="C749" s="2"/>
      <c r="E749" s="2"/>
      <c r="F749" s="2"/>
      <c r="G749" s="2"/>
      <c r="L749" s="2"/>
      <c r="M749" s="2"/>
    </row>
    <row r="750" ht="12.75" customHeight="1">
      <c r="A750" s="2"/>
      <c r="B750" s="2"/>
      <c r="C750" s="2"/>
      <c r="E750" s="2"/>
      <c r="F750" s="2"/>
      <c r="G750" s="2"/>
      <c r="L750" s="2"/>
      <c r="M750" s="2"/>
    </row>
    <row r="751" ht="12.75" customHeight="1">
      <c r="A751" s="2"/>
      <c r="B751" s="2"/>
      <c r="C751" s="2"/>
      <c r="E751" s="2"/>
      <c r="F751" s="2"/>
      <c r="G751" s="2"/>
      <c r="I751" s="2"/>
      <c r="M751" s="2"/>
    </row>
    <row r="752" ht="12.75" customHeight="1">
      <c r="A752" s="2"/>
      <c r="B752" s="2"/>
      <c r="C752" s="2"/>
      <c r="E752" s="2"/>
      <c r="F752" s="2"/>
      <c r="G752" s="2"/>
      <c r="I752" s="2"/>
      <c r="M752" s="2"/>
    </row>
    <row r="753" ht="12.75" customHeight="1">
      <c r="A753" s="2"/>
      <c r="B753" s="2"/>
      <c r="C753" s="2"/>
      <c r="E753" s="2"/>
      <c r="F753" s="2"/>
      <c r="G753" s="2"/>
      <c r="M753" s="2"/>
    </row>
    <row r="754" ht="12.75" customHeight="1">
      <c r="A754" s="2"/>
      <c r="B754" s="2"/>
      <c r="C754" s="2"/>
      <c r="E754" s="2"/>
      <c r="F754" s="2"/>
      <c r="G754" s="2"/>
      <c r="L754" s="2"/>
      <c r="M754" s="2"/>
    </row>
    <row r="755" ht="12.75" customHeight="1">
      <c r="A755" s="2"/>
      <c r="B755" s="2"/>
      <c r="C755" s="2"/>
      <c r="E755" s="2"/>
      <c r="F755" s="2"/>
      <c r="G755" s="2"/>
      <c r="I755" s="2"/>
      <c r="L755" s="2"/>
      <c r="M755" s="2"/>
    </row>
    <row r="756" ht="12.75" customHeight="1">
      <c r="A756" s="2"/>
      <c r="B756" s="2"/>
      <c r="C756" s="2"/>
      <c r="E756" s="2"/>
      <c r="F756" s="2"/>
      <c r="G756" s="2"/>
      <c r="L756" s="2"/>
      <c r="M756" s="2"/>
    </row>
    <row r="757" ht="12.75" customHeight="1">
      <c r="A757" s="2"/>
      <c r="B757" s="2"/>
      <c r="C757" s="2"/>
      <c r="E757" s="2"/>
      <c r="F757" s="2"/>
      <c r="G757" s="2"/>
      <c r="I757" s="2"/>
      <c r="L757" s="2"/>
      <c r="M757" s="25"/>
    </row>
    <row r="758" ht="12.75" customHeight="1">
      <c r="A758" s="2"/>
      <c r="B758" s="2"/>
      <c r="C758" s="2"/>
      <c r="E758" s="2"/>
      <c r="F758" s="2"/>
      <c r="G758" s="2"/>
      <c r="L758" s="2"/>
      <c r="M758" s="2"/>
    </row>
    <row r="759" ht="12.75" customHeight="1">
      <c r="A759" s="2"/>
      <c r="B759" s="2"/>
      <c r="C759" s="2"/>
      <c r="E759" s="2"/>
      <c r="F759" s="2"/>
      <c r="G759" s="2"/>
      <c r="L759" s="2"/>
      <c r="M759" s="2"/>
    </row>
    <row r="760" ht="12.75" customHeight="1">
      <c r="A760" s="2"/>
      <c r="B760" s="2"/>
      <c r="C760" s="2"/>
      <c r="E760" s="2"/>
      <c r="F760" s="2"/>
      <c r="G760" s="2"/>
      <c r="I760" s="2"/>
      <c r="L760" s="2"/>
      <c r="M760" s="2"/>
    </row>
    <row r="761" ht="12.75" customHeight="1">
      <c r="A761" s="2"/>
      <c r="B761" s="2"/>
      <c r="C761" s="2"/>
      <c r="E761" s="2"/>
      <c r="F761" s="2"/>
      <c r="G761" s="2"/>
      <c r="I761" s="2"/>
    </row>
    <row r="762" ht="12.75" customHeight="1">
      <c r="A762" s="2"/>
      <c r="B762" s="2"/>
      <c r="C762" s="2"/>
      <c r="E762" s="2"/>
      <c r="F762" s="2"/>
      <c r="G762" s="2"/>
      <c r="I762" s="2"/>
      <c r="L762" s="2"/>
      <c r="M762" s="2"/>
    </row>
    <row r="763" ht="12.75" customHeight="1">
      <c r="A763" s="2"/>
      <c r="B763" s="2"/>
      <c r="C763" s="2"/>
      <c r="E763" s="2"/>
      <c r="F763" s="2"/>
    </row>
    <row r="764" ht="12.75" customHeight="1">
      <c r="A764" s="2"/>
      <c r="B764" s="2"/>
      <c r="C764" s="2"/>
      <c r="E764" s="2"/>
      <c r="F764" s="2"/>
      <c r="G764" s="2"/>
      <c r="L764" s="2"/>
      <c r="M764" s="2"/>
    </row>
    <row r="765" ht="12.75" customHeight="1">
      <c r="A765" s="2"/>
      <c r="B765" s="2"/>
      <c r="C765" s="2"/>
      <c r="E765" s="2"/>
      <c r="F765" s="2"/>
      <c r="G765" s="2"/>
      <c r="L765" s="2"/>
      <c r="M765" s="2"/>
    </row>
    <row r="766" ht="12.75" customHeight="1">
      <c r="A766" s="2"/>
      <c r="B766" s="2"/>
      <c r="C766" s="2"/>
      <c r="E766" s="2"/>
      <c r="F766" s="2"/>
      <c r="G766" s="2"/>
      <c r="L766" s="2"/>
      <c r="M766" s="2"/>
    </row>
    <row r="767" ht="12.75" customHeight="1">
      <c r="A767" s="2"/>
      <c r="B767" s="2"/>
      <c r="C767" s="2"/>
      <c r="E767" s="2"/>
      <c r="F767" s="2"/>
      <c r="G767" s="2"/>
      <c r="I767" s="2"/>
      <c r="L767" s="2"/>
      <c r="M767" s="2"/>
    </row>
    <row r="768" ht="12.75" customHeight="1">
      <c r="A768" s="2"/>
      <c r="B768" s="2"/>
      <c r="C768" s="2"/>
      <c r="E768" s="2"/>
      <c r="F768" s="2"/>
      <c r="G768" s="2"/>
      <c r="L768" s="2"/>
      <c r="M768" s="2"/>
    </row>
    <row r="769" ht="12.75" customHeight="1">
      <c r="A769" s="2"/>
      <c r="B769" s="2"/>
      <c r="C769" s="2"/>
      <c r="E769" s="2"/>
      <c r="F769" s="2"/>
      <c r="G769" s="2"/>
      <c r="I769" s="2"/>
      <c r="L769" s="2"/>
      <c r="M769" s="2"/>
    </row>
    <row r="770" ht="12.75" customHeight="1">
      <c r="A770" s="2"/>
      <c r="B770" s="2"/>
      <c r="C770" s="2"/>
      <c r="E770" s="2"/>
      <c r="F770" s="2"/>
      <c r="G770" s="2"/>
      <c r="L770" s="2"/>
      <c r="M770" s="2"/>
    </row>
    <row r="771" ht="12.75" customHeight="1">
      <c r="A771" s="2"/>
      <c r="B771" s="2"/>
      <c r="C771" s="2"/>
      <c r="E771" s="2"/>
      <c r="F771" s="2"/>
      <c r="G771" s="2"/>
      <c r="I771" s="2"/>
      <c r="L771" s="2"/>
      <c r="M771" s="2"/>
    </row>
    <row r="772" ht="12.75" customHeight="1">
      <c r="A772" s="2"/>
      <c r="B772" s="2"/>
      <c r="C772" s="2"/>
      <c r="E772" s="2"/>
      <c r="F772" s="2"/>
      <c r="G772" s="2"/>
      <c r="L772" s="2"/>
      <c r="M772" s="2"/>
    </row>
    <row r="773" ht="12.75" customHeight="1">
      <c r="A773" s="2"/>
      <c r="B773" s="2"/>
      <c r="C773" s="2"/>
      <c r="E773" s="2"/>
      <c r="F773" s="2"/>
      <c r="G773" s="2"/>
      <c r="L773" s="2"/>
      <c r="M773" s="2"/>
    </row>
    <row r="774" ht="12.75" customHeight="1">
      <c r="A774" s="2"/>
      <c r="B774" s="2"/>
      <c r="C774" s="2"/>
      <c r="E774" s="2"/>
      <c r="F774" s="2"/>
      <c r="G774" s="2"/>
      <c r="I774" s="2"/>
      <c r="L774" s="2"/>
      <c r="M774" s="2"/>
    </row>
    <row r="775" ht="12.75" customHeight="1">
      <c r="A775" s="2"/>
      <c r="B775" s="2"/>
      <c r="C775" s="2"/>
      <c r="E775" s="2"/>
      <c r="F775" s="2"/>
      <c r="G775" s="2"/>
      <c r="L775" s="2"/>
      <c r="M775" s="2"/>
    </row>
    <row r="776" ht="12.75" customHeight="1">
      <c r="A776" s="2"/>
      <c r="B776" s="2"/>
      <c r="C776" s="2"/>
      <c r="E776" s="2"/>
      <c r="F776" s="2"/>
      <c r="G776" s="2"/>
      <c r="M776" s="2"/>
    </row>
    <row r="777" ht="12.75" customHeight="1">
      <c r="A777" s="2"/>
      <c r="B777" s="2"/>
      <c r="C777" s="2"/>
      <c r="E777" s="2"/>
      <c r="F777" s="2"/>
      <c r="G777" s="2"/>
      <c r="I777" s="2"/>
      <c r="M777" s="2"/>
    </row>
    <row r="778" ht="12.75" customHeight="1">
      <c r="A778" s="2"/>
      <c r="B778" s="2"/>
      <c r="C778" s="2"/>
      <c r="E778" s="2"/>
      <c r="F778" s="2"/>
      <c r="G778" s="2"/>
      <c r="L778" s="2"/>
      <c r="M778" s="2"/>
    </row>
    <row r="779" ht="12.75" customHeight="1">
      <c r="A779" s="2"/>
      <c r="B779" s="2"/>
      <c r="C779" s="2"/>
      <c r="E779" s="2"/>
      <c r="F779" s="2"/>
      <c r="G779" s="2"/>
      <c r="L779" s="2"/>
      <c r="M779" s="2"/>
    </row>
    <row r="780" ht="12.75" customHeight="1">
      <c r="A780" s="2"/>
      <c r="B780" s="2"/>
      <c r="C780" s="2"/>
      <c r="E780" s="2"/>
      <c r="F780" s="2"/>
      <c r="G780" s="2"/>
      <c r="L780" s="2"/>
      <c r="M780" s="2"/>
    </row>
    <row r="781" ht="12.75" customHeight="1">
      <c r="A781" s="2"/>
      <c r="B781" s="2"/>
      <c r="C781" s="2"/>
      <c r="E781" s="2"/>
      <c r="F781" s="2"/>
      <c r="G781" s="2"/>
      <c r="L781" s="2"/>
      <c r="M781" s="2"/>
    </row>
    <row r="782" ht="12.75" customHeight="1">
      <c r="A782" s="2"/>
      <c r="B782" s="2"/>
      <c r="C782" s="2"/>
      <c r="E782" s="2"/>
      <c r="F782" s="2"/>
      <c r="G782" s="2"/>
      <c r="L782" s="2"/>
      <c r="M782" s="2"/>
    </row>
    <row r="783" ht="12.75" customHeight="1">
      <c r="A783" s="2"/>
      <c r="B783" s="2"/>
      <c r="C783" s="2"/>
      <c r="E783" s="2"/>
      <c r="F783" s="2"/>
      <c r="G783" s="2"/>
      <c r="L783" s="2"/>
      <c r="M783" s="2"/>
    </row>
    <row r="784" ht="12.75" customHeight="1">
      <c r="A784" s="2"/>
      <c r="B784" s="2"/>
      <c r="C784" s="2"/>
      <c r="E784" s="2"/>
      <c r="F784" s="2"/>
      <c r="G784" s="2"/>
      <c r="I784" s="2"/>
      <c r="L784" s="2"/>
      <c r="M784" s="2"/>
    </row>
    <row r="785" ht="12.75" customHeight="1">
      <c r="A785" s="2"/>
      <c r="B785" s="2"/>
      <c r="C785" s="2"/>
      <c r="E785" s="2"/>
      <c r="F785" s="2"/>
      <c r="G785" s="2"/>
      <c r="L785" s="2"/>
      <c r="M785" s="2"/>
      <c r="N785" s="2"/>
    </row>
    <row r="786" ht="12.75" customHeight="1">
      <c r="A786" s="2"/>
      <c r="B786" s="2"/>
      <c r="C786" s="2"/>
      <c r="E786" s="2"/>
      <c r="F786" s="2"/>
      <c r="G786" s="2"/>
      <c r="I786" s="2"/>
      <c r="L786" s="2"/>
      <c r="M786" s="2"/>
    </row>
    <row r="787" ht="12.75" customHeight="1">
      <c r="A787" s="2"/>
      <c r="B787" s="2"/>
      <c r="C787" s="2"/>
      <c r="E787" s="2"/>
      <c r="F787" s="2"/>
    </row>
    <row r="788" ht="12.75" customHeight="1">
      <c r="A788" s="2"/>
      <c r="B788" s="2"/>
      <c r="C788" s="2"/>
      <c r="E788" s="2"/>
      <c r="F788" s="2"/>
      <c r="G788" s="2"/>
      <c r="L788" s="2"/>
      <c r="M788" s="2"/>
    </row>
    <row r="789" ht="12.75" customHeight="1">
      <c r="A789" s="2"/>
      <c r="B789" s="2"/>
      <c r="C789" s="2"/>
      <c r="E789" s="2"/>
      <c r="F789" s="2"/>
      <c r="G789" s="2"/>
      <c r="L789" s="2"/>
      <c r="M789" s="2"/>
    </row>
    <row r="790" ht="12.75" customHeight="1">
      <c r="A790" s="2"/>
      <c r="B790" s="2"/>
      <c r="C790" s="2"/>
      <c r="E790" s="2"/>
      <c r="F790" s="2"/>
      <c r="G790" s="2"/>
      <c r="I790" s="2"/>
      <c r="L790" s="2"/>
      <c r="M790" s="2"/>
    </row>
    <row r="791" ht="12.75" customHeight="1">
      <c r="A791" s="2"/>
      <c r="B791" s="2"/>
      <c r="C791" s="2"/>
      <c r="E791" s="2"/>
      <c r="F791" s="2"/>
      <c r="G791" s="2"/>
      <c r="L791" s="2"/>
      <c r="M791" s="2"/>
    </row>
    <row r="792" ht="12.75" customHeight="1">
      <c r="A792" s="2"/>
      <c r="B792" s="2"/>
      <c r="C792" s="2"/>
      <c r="E792" s="2"/>
      <c r="F792" s="2"/>
      <c r="G792" s="2"/>
      <c r="L792" s="2"/>
      <c r="M792" s="2"/>
    </row>
    <row r="793" ht="12.75" customHeight="1">
      <c r="A793" s="2"/>
      <c r="B793" s="2"/>
      <c r="C793" s="2"/>
      <c r="E793" s="2"/>
      <c r="F793" s="2"/>
      <c r="G793" s="2"/>
      <c r="I793" s="2"/>
      <c r="L793" s="2"/>
      <c r="M793" s="2"/>
    </row>
    <row r="794" ht="12.75" customHeight="1">
      <c r="A794" s="2"/>
      <c r="B794" s="2"/>
      <c r="C794" s="2"/>
      <c r="E794" s="2"/>
      <c r="F794" s="2"/>
      <c r="G794" s="2"/>
      <c r="L794" s="2"/>
      <c r="M794" s="10"/>
    </row>
    <row r="795" ht="12.75" customHeight="1">
      <c r="A795" s="2"/>
      <c r="B795" s="2"/>
      <c r="C795" s="2"/>
      <c r="E795" s="2"/>
      <c r="F795" s="2"/>
      <c r="G795" s="2"/>
      <c r="L795" s="2"/>
      <c r="M795" s="2"/>
    </row>
    <row r="796" ht="12.75" customHeight="1">
      <c r="A796" s="2"/>
      <c r="B796" s="2"/>
      <c r="C796" s="2"/>
      <c r="E796" s="2"/>
      <c r="F796" s="2"/>
      <c r="G796" s="2"/>
      <c r="L796" s="2"/>
      <c r="M796" s="2"/>
    </row>
    <row r="797" ht="12.75" customHeight="1">
      <c r="A797" s="2"/>
      <c r="B797" s="2"/>
      <c r="C797" s="2"/>
      <c r="E797" s="2"/>
      <c r="F797" s="2"/>
      <c r="G797" s="2"/>
      <c r="L797" s="2"/>
      <c r="M797" s="2"/>
    </row>
    <row r="798" ht="12.75" customHeight="1">
      <c r="A798" s="2"/>
      <c r="B798" s="2"/>
      <c r="C798" s="2"/>
      <c r="E798" s="2"/>
      <c r="F798" s="2"/>
      <c r="G798" s="2"/>
      <c r="L798" s="2"/>
      <c r="M798" s="26"/>
    </row>
    <row r="799" ht="12.75" customHeight="1">
      <c r="A799" s="2"/>
      <c r="B799" s="2"/>
      <c r="C799" s="2"/>
      <c r="E799" s="2"/>
      <c r="F799" s="2"/>
      <c r="G799" s="2"/>
      <c r="I799" s="2"/>
    </row>
    <row r="800" ht="12.75" customHeight="1">
      <c r="A800" s="2"/>
      <c r="B800" s="2"/>
      <c r="C800" s="2"/>
      <c r="E800" s="2"/>
      <c r="F800" s="2"/>
      <c r="G800" s="2"/>
    </row>
    <row r="801" ht="12.75" customHeight="1">
      <c r="A801" s="2"/>
      <c r="B801" s="2"/>
      <c r="C801" s="2"/>
      <c r="E801" s="2"/>
      <c r="F801" s="2"/>
      <c r="G801" s="2"/>
      <c r="L801" s="2"/>
      <c r="M801" s="2"/>
    </row>
    <row r="802" ht="12.75" customHeight="1">
      <c r="A802" s="2"/>
      <c r="B802" s="2"/>
      <c r="C802" s="2"/>
      <c r="E802" s="2"/>
      <c r="F802" s="2"/>
      <c r="G802" s="2"/>
      <c r="L802" s="2"/>
      <c r="M802" s="2"/>
    </row>
    <row r="803" ht="12.75" customHeight="1">
      <c r="A803" s="2"/>
      <c r="B803" s="2"/>
      <c r="C803" s="2"/>
      <c r="E803" s="2"/>
      <c r="F803" s="2"/>
      <c r="G803" s="2"/>
      <c r="I803" s="2"/>
      <c r="L803" s="2"/>
      <c r="M803" s="2"/>
    </row>
    <row r="804" ht="12.75" customHeight="1">
      <c r="A804" s="2"/>
      <c r="B804" s="2"/>
      <c r="C804" s="2"/>
      <c r="E804" s="2"/>
      <c r="F804" s="2"/>
      <c r="G804" s="2"/>
      <c r="I804" s="2"/>
      <c r="L804" s="2"/>
      <c r="M804" s="2"/>
    </row>
    <row r="805" ht="12.75" customHeight="1">
      <c r="A805" s="2"/>
      <c r="B805" s="2"/>
      <c r="C805" s="2"/>
      <c r="E805" s="2"/>
      <c r="F805" s="2"/>
      <c r="G805" s="2"/>
      <c r="L805" s="2"/>
      <c r="M805" s="2"/>
    </row>
    <row r="806" ht="12.75" customHeight="1">
      <c r="A806" s="2"/>
      <c r="B806" s="2"/>
      <c r="C806" s="2"/>
      <c r="E806" s="2"/>
      <c r="F806" s="2"/>
      <c r="G806" s="2"/>
      <c r="L806" s="2"/>
      <c r="M806" s="2"/>
    </row>
    <row r="807" ht="12.75" customHeight="1">
      <c r="A807" s="2"/>
      <c r="B807" s="2"/>
      <c r="C807" s="2"/>
      <c r="E807" s="2"/>
      <c r="F807" s="2"/>
      <c r="G807" s="2"/>
      <c r="I807" s="2"/>
      <c r="L807" s="2"/>
      <c r="M807" s="2"/>
    </row>
    <row r="808" ht="12.75" customHeight="1">
      <c r="A808" s="2"/>
      <c r="B808" s="2"/>
      <c r="C808" s="2"/>
      <c r="E808" s="2"/>
      <c r="F808" s="2"/>
      <c r="G808" s="2"/>
      <c r="I808" s="2"/>
      <c r="J808" s="2"/>
      <c r="M808" s="2"/>
    </row>
    <row r="809" ht="12.75" customHeight="1">
      <c r="A809" s="2"/>
      <c r="B809" s="2"/>
      <c r="C809" s="2"/>
      <c r="E809" s="2"/>
      <c r="F809" s="2"/>
      <c r="G809" s="2"/>
      <c r="I809" s="2"/>
      <c r="J809" s="2"/>
      <c r="M809" s="2"/>
    </row>
    <row r="810" ht="12.75" customHeight="1">
      <c r="A810" s="2"/>
      <c r="B810" s="2"/>
      <c r="C810" s="2"/>
      <c r="E810" s="2"/>
      <c r="F810" s="2"/>
      <c r="G810" s="2"/>
      <c r="I810" s="2"/>
      <c r="L810" s="2"/>
      <c r="M810" s="2"/>
      <c r="O810" s="2"/>
    </row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</sheetData>
  <hyperlinks>
    <hyperlink r:id="rId1" ref="H32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